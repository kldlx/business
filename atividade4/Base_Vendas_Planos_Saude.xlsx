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f7c09977545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PlanosSaude" sheetId="1" r:id="Re64a933b8f9d4fcc"/>
    <x:sheet xmlns:r="http://schemas.openxmlformats.org/officeDocument/2006/relationships" name="LeiaMe" sheetId="2" r:id="Radd3506c9e0840c0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Data da venda do plano de saúde. Use esta coluna para criar a dimensão de data no Power BI.</x:t>
        </x:r>
      </x:text>
    </x:comment>
    <x:comment ref="B1" authorId="0">
      <x:text>
        <x:r>
          <x:t>Produto vendido. Valores possíveis: Plano Básico, Plano Médio e Plano Master.</x:t>
        </x:r>
      </x:text>
    </x:comment>
    <x:comment ref="C1" authorId="0">
      <x:text>
        <x:r>
          <x:t>Estado do cliente. Use para criar a dimensão de estado.</x:t>
        </x:r>
      </x:text>
    </x:comment>
    <x:comment ref="I1" authorId="0">
      <x:text>
        <x:r>
          <x:t>Nome do cliente. Use para criar a dimensão de clientes.</x:t>
        </x:r>
      </x:text>
    </x:comment>
    <x:comment ref="J1" authorId="0">
      <x:text>
        <x:r>
          <x:t>Nome do vendedor. Use para criar a dimensão de vendedores.</x:t>
        </x:r>
      </x:text>
    </x:comment>
    <x:comment ref="K1" authorId="0">
      <x:text>
        <x:r>
          <x:t>Cobertura do produto. Útil para enriquecer a dimensão de produto.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dd/mm/yyyy"/>
    <x:numFmt numFmtId="165" formatCode="R$ #,##0.00"/>
  </x:numFmts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 applyAlignment="1">
      <x:alignment horizontal="center" vertical="center"/>
    </x:xf>
    <x:xf numFmtId="164" fontId="0" fillId="0" borderId="0" xfId="0" applyAlignment="1">
      <x:alignment vertical="center"/>
    </x:xf>
    <x:xf numFmtId="0" fontId="0" fillId="0" borderId="0" xfId="0" applyAlignment="1">
      <x:alignment vertical="center"/>
    </x:xf>
    <x:xf numFmtId="165" fontId="0" fillId="0" borderId="0" xfId="0" applyAlignment="1">
      <x:alignment vertical="center"/>
    </x:xf>
    <x:xf numFmtId="1" fontId="0" fillId="0" borderId="0" xfId="0" applyAlignment="1">
      <x:alignment vertical="center"/>
    </x:xf>
    <x:xf numFmtId="0" fontId="2" fillId="0" borderId="0" xfId="0"/>
    <x:xf numFmtId="0" fontId="3" fillId="0" borderId="0" xfId="0"/>
    <x:xf numFmtId="164" fontId="0" fillId="0" borderId="0" xfId="0" applyAlignment="1">
      <x:alignment vertical="center"/>
    </x:xf>
    <x:xf numFmtId="165" fontId="0" fillId="0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4665a36274d80" /><Relationship Type="http://schemas.openxmlformats.org/officeDocument/2006/relationships/theme" Target="/xl/theme/theme1.xml" Id="R1dc08bb3af204754" /><Relationship Type="http://schemas.openxmlformats.org/officeDocument/2006/relationships/sharedStrings" Target="/xl/sharedStrings.xml" Id="R24b761872a644458" /><Relationship Type="http://schemas.openxmlformats.org/officeDocument/2006/relationships/worksheet" Target="/xl/worksheets/sheet1.xml" Id="Re64a933b8f9d4fcc" /><Relationship Type="http://schemas.openxmlformats.org/officeDocument/2006/relationships/worksheet" Target="/xl/worksheets/sheet2.xml" Id="Radd3506c9e0840c0" /><Relationship Type="http://schemas.microsoft.com/office/2017/10/relationships/person" Target="/xl/persons/person.xml" Id="R5616d748fa82427a" /></Relationships>
</file>

<file path=xl/persons/person.xml><?xml version="1.0" encoding="utf-8"?>
<xltc:personList xmlns:xltc="http://schemas.microsoft.com/office/spreadsheetml/2018/threadedcomments">
  <xltc:person displayName="OpenAI" id="{563C2818-BE22-4A44-3E8D-380C5A2C2393}"/>
</xltc:personList>
</file>

<file path=xl/tables/table1.xml><?xml version="1.0" encoding="utf-8"?>
<x:table xmlns:x="http://schemas.openxmlformats.org/spreadsheetml/2006/main" id="1" name="tblVendasPlanosSaude" displayName="tblVendasPlanosSaude" ref="A1:K181" headerRowCount="1">
  <x:autoFilter ref="A1:K181"/>
  <x:tableColumns count="11">
    <x:tableColumn id="1" name="DataVenda"/>
    <x:tableColumn id="2" name="Produto"/>
    <x:tableColumn id="3" name="Estado"/>
    <x:tableColumn id="4" name="ValorUnitario"/>
    <x:tableColumn id="5" name="Quantidade"/>
    <x:tableColumn id="6" name="ValorBruto"/>
    <x:tableColumn id="7" name="TotalDesconto"/>
    <x:tableColumn id="8" name="ValorVenda"/>
    <x:tableColumn id="9" name="NomeCliente"/>
    <x:tableColumn id="10" name="Vendedor"/>
    <x:tableColumn id="11" name="Cobertura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942cbf43dbe40f6" /><Relationship Type="http://schemas.openxmlformats.org/officeDocument/2006/relationships/vmlDrawing" Target="/xl/drawings/vmldrawing.vml" Id="Rc0c7c9f767ee4333" /><Relationship Type="http://schemas.openxmlformats.org/officeDocument/2006/relationships/table" Target="/xl/tables/table1.xml" Id="R52298260c36644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8" customWidth="1"/>
    <x:col min="3" max="3" width="18" customWidth="1"/>
    <x:col min="4" max="4" width="14" customWidth="1"/>
    <x:col min="5" max="5" width="11" customWidth="1"/>
    <x:col min="6" max="6" width="14" customWidth="1"/>
    <x:col min="7" max="7" width="15" customWidth="1"/>
    <x:col min="8" max="8" width="14" customWidth="1"/>
    <x:col min="9" max="9" width="24" customWidth="1"/>
    <x:col min="10" max="10" width="22" customWidth="1"/>
    <x:col min="11" max="11" width="42" customWidth="1"/>
  </x:cols>
  <x:sheetData>
    <x:row r="1" ht="24" customHeight="1">
      <x:c r="A1" s="1" t="inlineStr">
        <x:is>
          <x:t xml:space="preserve">DataVenda</x:t>
        </x:is>
      </x:c>
      <x:c r="B1" s="1" t="inlineStr">
        <x:is>
          <x:t xml:space="preserve">Produto</x:t>
        </x:is>
      </x:c>
      <x:c r="C1" s="1" t="inlineStr">
        <x:is>
          <x:t xml:space="preserve">Estado</x:t>
        </x:is>
      </x:c>
      <x:c r="D1" s="1" t="inlineStr">
        <x:is>
          <x:t xml:space="preserve">ValorUnitario</x:t>
        </x:is>
      </x:c>
      <x:c r="E1" s="1" t="inlineStr">
        <x:is>
          <x:t xml:space="preserve">Quantidade</x:t>
        </x:is>
      </x:c>
      <x:c r="F1" s="1" t="inlineStr">
        <x:is>
          <x:t xml:space="preserve">ValorBruto</x:t>
        </x:is>
      </x:c>
      <x:c r="G1" s="1" t="inlineStr">
        <x:is>
          <x:t xml:space="preserve">TotalDesconto</x:t>
        </x:is>
      </x:c>
      <x:c r="H1" s="1" t="inlineStr">
        <x:is>
          <x:t xml:space="preserve">ValorVenda</x:t>
        </x:is>
      </x:c>
      <x:c r="I1" s="1" t="inlineStr">
        <x:is>
          <x:t xml:space="preserve">NomeCliente</x:t>
        </x:is>
      </x:c>
      <x:c r="J1" s="1" t="inlineStr">
        <x:is>
          <x:t xml:space="preserve">Vendedor</x:t>
        </x:is>
      </x:c>
      <x:c r="K1" s="1" t="inlineStr">
        <x:is>
          <x:t xml:space="preserve">Cobertura</x:t>
        </x:is>
      </x:c>
    </x:row>
    <x:row r="2">
      <x:c r="A2" s="8" t="n">
        <x:v>45295</x:v>
      </x:c>
      <x:c r="B2" s="3" t="inlineStr">
        <x:is>
          <x:t xml:space="preserve">Plano Básico</x:t>
        </x:is>
      </x:c>
      <x:c r="C2" s="3" t="inlineStr">
        <x:is>
          <x:t xml:space="preserve">Pernambuco</x:t>
        </x:is>
      </x:c>
      <x:c r="D2" s="9" t="n">
        <x:v>149.9</x:v>
      </x:c>
      <x:c r="E2" s="5" t="n">
        <x:v>2</x:v>
      </x:c>
      <x:c r="F2" s="9">
        <x:f>ROUND(D2*E2,2)</x:f>
        <x:v>299.8</x:v>
      </x:c>
      <x:c r="G2" s="9" t="n">
        <x:v>13.98</x:v>
      </x:c>
      <x:c r="H2" s="9">
        <x:f>ROUND(F2-G2,2)</x:f>
        <x:v>285.82</x:v>
      </x:c>
      <x:c r="I2" s="3" t="inlineStr">
        <x:is>
          <x:t xml:space="preserve">Natália Campos</x:t>
        </x:is>
      </x:c>
      <x:c r="J2" s="3" t="inlineStr">
        <x:is>
          <x:t xml:space="preserve">Larissa Rocha</x:t>
        </x:is>
      </x:c>
      <x:c r="K2" s="3" t="str">
        <x:f>IF(B2="Plano Básico","Consulta e internação",IF(B2="Plano Médio","Consulta, emergência e internação","Consulta, emergência, internação e odontologia"))</x:f>
        <x:v>Consulta e internação</x:v>
      </x:c>
    </x:row>
    <x:row r="3">
      <x:c r="A3" s="8" t="n">
        <x:v>45298</x:v>
      </x:c>
      <x:c r="B3" s="3" t="inlineStr">
        <x:is>
          <x:t xml:space="preserve">Plano Médio</x:t>
        </x:is>
      </x:c>
      <x:c r="C3" s="3" t="inlineStr">
        <x:is>
          <x:t xml:space="preserve">Bahia</x:t>
        </x:is>
      </x:c>
      <x:c r="D3" s="9" t="n">
        <x:v>249.9</x:v>
      </x:c>
      <x:c r="E3" s="5" t="n">
        <x:v>1</x:v>
      </x:c>
      <x:c r="F3" s="9">
        <x:f>ROUND(D3*E3,2)</x:f>
        <x:v>249.9</x:v>
      </x:c>
      <x:c r="G3" s="9" t="n">
        <x:v>19.99</x:v>
      </x:c>
      <x:c r="H3" s="9">
        <x:f>ROUND(F3-G3,2)</x:f>
        <x:v>229.91</x:v>
      </x:c>
      <x:c r="I3" s="3" t="inlineStr">
        <x:is>
          <x:t xml:space="preserve">Leonardo Oliveira</x:t>
        </x:is>
      </x:c>
      <x:c r="J3" s="3" t="inlineStr">
        <x:is>
          <x:t xml:space="preserve">Marcos Vinícius</x:t>
        </x:is>
      </x:c>
      <x:c r="K3" s="3" t="str">
        <x:f>IF(B3="Plano Básico","Consulta e internação",IF(B3="Plano Médio","Consulta, emergência e internação","Consulta, emergência, internação e odontologia"))</x:f>
        <x:v>Consulta, emergência e internação</x:v>
      </x:c>
    </x:row>
    <x:row r="4">
      <x:c r="A4" s="8" t="n">
        <x:v>45300</x:v>
      </x:c>
      <x:c r="B4" s="3" t="inlineStr">
        <x:is>
          <x:t xml:space="preserve">Plano Médio</x:t>
        </x:is>
      </x:c>
      <x:c r="C4" s="3" t="inlineStr">
        <x:is>
          <x:t xml:space="preserve">Bahia</x:t>
        </x:is>
      </x:c>
      <x:c r="D4" s="9" t="n">
        <x:v>249.9</x:v>
      </x:c>
      <x:c r="E4" s="5" t="n">
        <x:v>1</x:v>
      </x:c>
      <x:c r="F4" s="9">
        <x:f>ROUND(D4*E4,2)</x:f>
        <x:v>249.9</x:v>
      </x:c>
      <x:c r="G4" s="9" t="n">
        <x:v>0</x:v>
      </x:c>
      <x:c r="H4" s="9">
        <x:f>ROUND(F4-G4,2)</x:f>
        <x:v>249.9</x:v>
      </x:c>
      <x:c r="I4" s="3" t="inlineStr">
        <x:is>
          <x:t xml:space="preserve">Eduarda Ferreira</x:t>
        </x:is>
      </x:c>
      <x:c r="J4" s="3" t="inlineStr">
        <x:is>
          <x:t xml:space="preserve">Amanda Lopes</x:t>
        </x:is>
      </x:c>
      <x:c r="K4" s="3" t="str">
        <x:f>IF(B4="Plano Básico","Consulta e internação",IF(B4="Plano Médio","Consulta, emergência e internação","Consulta, emergência, internação e odontologia"))</x:f>
        <x:v>Consulta, emergência e internação</x:v>
      </x:c>
    </x:row>
    <x:row r="5">
      <x:c r="A5" s="8" t="n">
        <x:v>45305</x:v>
      </x:c>
      <x:c r="B5" s="3" t="inlineStr">
        <x:is>
          <x:t xml:space="preserve">Plano Básico</x:t>
        </x:is>
      </x:c>
      <x:c r="C5" s="3" t="inlineStr">
        <x:is>
          <x:t xml:space="preserve">Distrito Federal</x:t>
        </x:is>
      </x:c>
      <x:c r="D5" s="9" t="n">
        <x:v>149.9</x:v>
      </x:c>
      <x:c r="E5" s="5" t="n">
        <x:v>4</x:v>
      </x:c>
      <x:c r="F5" s="9">
        <x:f>ROUND(D5*E5,2)</x:f>
        <x:v>599.6</x:v>
      </x:c>
      <x:c r="G5" s="9" t="n">
        <x:v>17.99</x:v>
      </x:c>
      <x:c r="H5" s="9">
        <x:f>ROUND(F5-G5,2)</x:f>
        <x:v>581.61</x:v>
      </x:c>
      <x:c r="I5" s="3" t="inlineStr">
        <x:is>
          <x:t xml:space="preserve">Giovana Araújo</x:t>
        </x:is>
      </x:c>
      <x:c r="J5" s="3" t="inlineStr">
        <x:is>
          <x:t xml:space="preserve">Larissa Rocha</x:t>
        </x:is>
      </x:c>
      <x:c r="K5" s="3" t="str">
        <x:f>IF(B5="Plano Básico","Consulta e internação",IF(B5="Plano Médio","Consulta, emergência e internação","Consulta, emergência, internação e odontologia"))</x:f>
        <x:v>Consulta e internação</x:v>
      </x:c>
    </x:row>
    <x:row r="6">
      <x:c r="A6" s="8" t="n">
        <x:v>45308</x:v>
      </x:c>
      <x:c r="B6" s="3" t="inlineStr">
        <x:is>
          <x:t xml:space="preserve">Plano Master</x:t>
        </x:is>
      </x:c>
      <x:c r="C6" s="3" t="inlineStr">
        <x:is>
          <x:t xml:space="preserve">Ceará</x:t>
        </x:is>
      </x:c>
      <x:c r="D6" s="9" t="n">
        <x:v>399.9</x:v>
      </x:c>
      <x:c r="E6" s="5" t="n">
        <x:v>1</x:v>
      </x:c>
      <x:c r="F6" s="9">
        <x:f>ROUND(D6*E6,2)</x:f>
        <x:v>399.9</x:v>
      </x:c>
      <x:c r="G6" s="9" t="n">
        <x:v>31.99</x:v>
      </x:c>
      <x:c r="H6" s="9">
        <x:f>ROUND(F6-G6,2)</x:f>
        <x:v>367.91</x:v>
      </x:c>
      <x:c r="I6" s="3" t="inlineStr">
        <x:is>
          <x:t xml:space="preserve">João Pedro Santos</x:t>
        </x:is>
      </x:c>
      <x:c r="J6" s="3" t="inlineStr">
        <x:is>
          <x:t xml:space="preserve">Beatriz Gonçalves</x:t>
        </x:is>
      </x:c>
      <x:c r="K6" s="3" t="str">
        <x:f>IF(B6="Plano Básico","Consulta e internação",IF(B6="Plano Médio","Consulta, emergência e internação","Consulta, emergência, internação e odontologia"))</x:f>
        <x:v>Consulta, emergência, internação e odontologia</x:v>
      </x:c>
    </x:row>
    <x:row r="7">
      <x:c r="A7" s="8" t="n">
        <x:v>45310</x:v>
      </x:c>
      <x:c r="B7" s="3" t="inlineStr">
        <x:is>
          <x:t xml:space="preserve">Plano Médio</x:t>
        </x:is>
      </x:c>
      <x:c r="C7" s="3" t="inlineStr">
        <x:is>
          <x:t xml:space="preserve">Bahia</x:t>
        </x:is>
      </x:c>
      <x:c r="D7" s="9" t="n">
        <x:v>249.9</x:v>
      </x:c>
      <x:c r="E7" s="5" t="n">
        <x:v>1</x:v>
      </x:c>
      <x:c r="F7" s="9">
        <x:f>ROUND(D7*E7,2)</x:f>
        <x:v>249.9</x:v>
      </x:c>
      <x:c r="G7" s="9" t="n">
        <x:v>12.49</x:v>
      </x:c>
      <x:c r="H7" s="9">
        <x:f>ROUND(F7-G7,2)</x:f>
        <x:v>237.41</x:v>
      </x:c>
      <x:c r="I7" s="3" t="inlineStr">
        <x:is>
          <x:t xml:space="preserve">Bianca Duarte</x:t>
        </x:is>
      </x:c>
      <x:c r="J7" s="3" t="inlineStr">
        <x:is>
          <x:t xml:space="preserve">Diego Nascimento</x:t>
        </x:is>
      </x:c>
      <x:c r="K7" s="3" t="str">
        <x:f>IF(B7="Plano Básico","Consulta e internação",IF(B7="Plano Médio","Consulta, emergência e internação","Consulta, emergência, internação e odontologia"))</x:f>
        <x:v>Consulta, emergência e internação</x:v>
      </x:c>
    </x:row>
    <x:row r="8">
      <x:c r="A8" s="8" t="n">
        <x:v>45318</x:v>
      </x:c>
      <x:c r="B8" s="3" t="inlineStr">
        <x:is>
          <x:t xml:space="preserve">Plano Médio</x:t>
        </x:is>
      </x:c>
      <x:c r="C8" s="3" t="inlineStr">
        <x:is>
          <x:t xml:space="preserve">Bahia</x:t>
        </x:is>
      </x:c>
      <x:c r="D8" s="9" t="n">
        <x:v>249.9</x:v>
      </x:c>
      <x:c r="E8" s="5" t="n">
        <x:v>2</x:v>
      </x:c>
      <x:c r="F8" s="9">
        <x:f>ROUND(D8*E8,2)</x:f>
        <x:v>499.8</x:v>
      </x:c>
      <x:c r="G8" s="9" t="n">
        <x:v>0</x:v>
      </x:c>
      <x:c r="H8" s="9">
        <x:f>ROUND(F8-G8,2)</x:f>
        <x:v>499.8</x:v>
      </x:c>
      <x:c r="I8" s="3" t="inlineStr">
        <x:is>
          <x:t xml:space="preserve">Isabela Gomes</x:t>
        </x:is>
      </x:c>
      <x:c r="J8" s="3" t="inlineStr">
        <x:is>
          <x:t xml:space="preserve">Beatriz Gonçalves</x:t>
        </x:is>
      </x:c>
      <x:c r="K8" s="3" t="str">
        <x:f>IF(B8="Plano Básico","Consulta e internação",IF(B8="Plano Médio","Consulta, emergência e internação","Consulta, emergência, internação e odontologia"))</x:f>
        <x:v>Consulta, emergência e internação</x:v>
      </x:c>
    </x:row>
    <x:row r="9">
      <x:c r="A9" s="8" t="n">
        <x:v>45325</x:v>
      </x:c>
      <x:c r="B9" s="3" t="inlineStr">
        <x:is>
          <x:t xml:space="preserve">Plano Básico</x:t>
        </x:is>
      </x:c>
      <x:c r="C9" s="3" t="inlineStr">
        <x:is>
          <x:t xml:space="preserve">Paraná</x:t>
        </x:is>
      </x:c>
      <x:c r="D9" s="9" t="n">
        <x:v>149.9</x:v>
      </x:c>
      <x:c r="E9" s="5" t="n">
        <x:v>2</x:v>
      </x:c>
      <x:c r="F9" s="9">
        <x:f>ROUND(D9*E9,2)</x:f>
        <x:v>299.8</x:v>
      </x:c>
      <x:c r="G9" s="9" t="n">
        <x:v>23.98</x:v>
      </x:c>
      <x:c r="H9" s="9">
        <x:f>ROUND(F9-G9,2)</x:f>
        <x:v>275.82</x:v>
      </x:c>
      <x:c r="I9" s="3" t="inlineStr">
        <x:is>
          <x:t xml:space="preserve">Eduarda Ferreira</x:t>
        </x:is>
      </x:c>
      <x:c r="J9" s="3" t="inlineStr">
        <x:is>
          <x:t xml:space="preserve">Diego Nascimento</x:t>
        </x:is>
      </x:c>
      <x:c r="K9" s="3" t="str">
        <x:f>IF(B9="Plano Básico","Consulta e internação",IF(B9="Plano Médio","Consulta, emergência e internação","Consulta, emergência, internação e odontologia"))</x:f>
        <x:v>Consulta e internação</x:v>
      </x:c>
    </x:row>
    <x:row r="10">
      <x:c r="A10" s="8" t="n">
        <x:v>45329</x:v>
      </x:c>
      <x:c r="B10" s="3" t="inlineStr">
        <x:is>
          <x:t xml:space="preserve">Plano Master</x:t>
        </x:is>
      </x:c>
      <x:c r="C10" s="3" t="inlineStr">
        <x:is>
          <x:t xml:space="preserve">Bahia</x:t>
        </x:is>
      </x:c>
      <x:c r="D10" s="9" t="n">
        <x:v>399.9</x:v>
      </x:c>
      <x:c r="E10" s="5" t="n">
        <x:v>4</x:v>
      </x:c>
      <x:c r="F10" s="9">
        <x:f>ROUND(D10*E10,2)</x:f>
        <x:v>1599.6</x:v>
      </x:c>
      <x:c r="G10" s="9" t="n">
        <x:v>0</x:v>
      </x:c>
      <x:c r="H10" s="9">
        <x:f>ROUND(F10-G10,2)</x:f>
        <x:v>1599.6</x:v>
      </x:c>
      <x:c r="I10" s="3" t="inlineStr">
        <x:is>
          <x:t xml:space="preserve">Renato Melo</x:t>
        </x:is>
      </x:c>
      <x:c r="J10" s="3" t="inlineStr">
        <x:is>
          <x:t xml:space="preserve">Fernanda Souza</x:t>
        </x:is>
      </x:c>
      <x:c r="K10" s="3" t="str">
        <x:f>IF(B10="Plano Básico","Consulta e internação",IF(B10="Plano Médio","Consulta, emergência e internação","Consulta, emergência, internação e odontologia"))</x:f>
        <x:v>Consulta, emergência, internação e odontologia</x:v>
      </x:c>
    </x:row>
    <x:row r="11">
      <x:c r="A11" s="8" t="n">
        <x:v>45332</x:v>
      </x:c>
      <x:c r="B11" s="3" t="inlineStr">
        <x:is>
          <x:t xml:space="preserve">Plano Básico</x:t>
        </x:is>
      </x:c>
      <x:c r="C11" s="3" t="inlineStr">
        <x:is>
          <x:t xml:space="preserve">Bahia</x:t>
        </x:is>
      </x:c>
      <x:c r="D11" s="9" t="n">
        <x:v>149.9</x:v>
      </x:c>
      <x:c r="E11" s="5" t="n">
        <x:v>3</x:v>
      </x:c>
      <x:c r="F11" s="9">
        <x:f>ROUND(D11*E11,2)</x:f>
        <x:v>449.7</x:v>
      </x:c>
      <x:c r="G11" s="9" t="n">
        <x:v>0</x:v>
      </x:c>
      <x:c r="H11" s="9">
        <x:f>ROUND(F11-G11,2)</x:f>
        <x:v>449.7</x:v>
      </x:c>
      <x:c r="I11" s="3" t="inlineStr">
        <x:is>
          <x:t xml:space="preserve">Jéssica Barbalho</x:t>
        </x:is>
      </x:c>
      <x:c r="J11" s="3" t="inlineStr">
        <x:is>
          <x:t xml:space="preserve">Larissa Rocha</x:t>
        </x:is>
      </x:c>
      <x:c r="K11" s="3" t="str">
        <x:f>IF(B11="Plano Básico","Consulta e internação",IF(B11="Plano Médio","Consulta, emergência e internação","Consulta, emergência, internação e odontologia"))</x:f>
        <x:v>Consulta e internação</x:v>
      </x:c>
    </x:row>
    <x:row r="12">
      <x:c r="A12" s="8" t="n">
        <x:v>45333</x:v>
      </x:c>
      <x:c r="B12" s="3" t="inlineStr">
        <x:is>
          <x:t xml:space="preserve">Plano Master</x:t>
        </x:is>
      </x:c>
      <x:c r="C12" s="3" t="inlineStr">
        <x:is>
          <x:t xml:space="preserve">Ceará</x:t>
        </x:is>
      </x:c>
      <x:c r="D12" s="9" t="n">
        <x:v>399.9</x:v>
      </x:c>
      <x:c r="E12" s="5" t="n">
        <x:v>2</x:v>
      </x:c>
      <x:c r="F12" s="9">
        <x:f>ROUND(D12*E12,2)</x:f>
        <x:v>799.8</x:v>
      </x:c>
      <x:c r="G12" s="9" t="n">
        <x:v>0</x:v>
      </x:c>
      <x:c r="H12" s="9">
        <x:f>ROUND(F12-G12,2)</x:f>
        <x:v>799.8</x:v>
      </x:c>
      <x:c r="I12" s="3" t="inlineStr">
        <x:is>
          <x:t xml:space="preserve">Paulo Henrique Dias</x:t>
        </x:is>
      </x:c>
      <x:c r="J12" s="3" t="inlineStr">
        <x:is>
          <x:t xml:space="preserve">Beatriz Gonçalves</x:t>
        </x:is>
      </x:c>
      <x:c r="K12" s="3" t="str">
        <x:f>IF(B12="Plano Básico","Consulta e internação",IF(B12="Plano Médio","Consulta, emergência e internação","Consulta, emergência, internação e odontologia"))</x:f>
        <x:v>Consulta, emergência, internação e odontologia</x:v>
      </x:c>
    </x:row>
    <x:row r="13">
      <x:c r="A13" s="8" t="n">
        <x:v>45338</x:v>
      </x:c>
      <x:c r="B13" s="3" t="inlineStr">
        <x:is>
          <x:t xml:space="preserve">Plano Básico</x:t>
        </x:is>
      </x:c>
      <x:c r="C13" s="3" t="inlineStr">
        <x:is>
          <x:t xml:space="preserve">Goiás</x:t>
        </x:is>
      </x:c>
      <x:c r="D13" s="9" t="n">
        <x:v>149.9</x:v>
      </x:c>
      <x:c r="E13" s="5" t="n">
        <x:v>2</x:v>
      </x:c>
      <x:c r="F13" s="9">
        <x:f>ROUND(D13*E13,2)</x:f>
        <x:v>299.8</x:v>
      </x:c>
      <x:c r="G13" s="9" t="n">
        <x:v>0</x:v>
      </x:c>
      <x:c r="H13" s="9">
        <x:f>ROUND(F13-G13,2)</x:f>
        <x:v>299.8</x:v>
      </x:c>
      <x:c r="I13" s="3" t="inlineStr">
        <x:is>
          <x:t xml:space="preserve">Yuri Aguiar</x:t>
        </x:is>
      </x:c>
      <x:c r="J13" s="3" t="inlineStr">
        <x:is>
          <x:t xml:space="preserve">Marcos Vinícius</x:t>
        </x:is>
      </x:c>
      <x:c r="K13" s="3" t="str">
        <x:f>IF(B13="Plano Básico","Consulta e internação",IF(B13="Plano Médio","Consulta, emergência e internação","Consulta, emergência, internação e odontologia"))</x:f>
        <x:v>Consulta e internação</x:v>
      </x:c>
    </x:row>
    <x:row r="14">
      <x:c r="A14" s="8" t="n">
        <x:v>45339</x:v>
      </x:c>
      <x:c r="B14" s="3" t="inlineStr">
        <x:is>
          <x:t xml:space="preserve">Plano Básico</x:t>
        </x:is>
      </x:c>
      <x:c r="C14" s="3" t="inlineStr">
        <x:is>
          <x:t xml:space="preserve">Espírito Santo</x:t>
        </x:is>
      </x:c>
      <x:c r="D14" s="9" t="n">
        <x:v>149.9</x:v>
      </x:c>
      <x:c r="E14" s="5" t="n">
        <x:v>1</x:v>
      </x:c>
      <x:c r="F14" s="9">
        <x:f>ROUND(D14*E14,2)</x:f>
        <x:v>149.9</x:v>
      </x:c>
      <x:c r="G14" s="9" t="n">
        <x:v>9.49</x:v>
      </x:c>
      <x:c r="H14" s="9">
        <x:f>ROUND(F14-G14,2)</x:f>
        <x:v>140.41</x:v>
      </x:c>
      <x:c r="I14" s="3" t="inlineStr">
        <x:is>
          <x:t xml:space="preserve">Isabela Gomes</x:t>
        </x:is>
      </x:c>
      <x:c r="J14" s="3" t="inlineStr">
        <x:is>
          <x:t xml:space="preserve">Larissa Rocha</x:t>
        </x:is>
      </x:c>
      <x:c r="K14" s="3" t="str">
        <x:f>IF(B14="Plano Básico","Consulta e internação",IF(B14="Plano Médio","Consulta, emergência e internação","Consulta, emergência, internação e odontologia"))</x:f>
        <x:v>Consulta e internação</x:v>
      </x:c>
    </x:row>
    <x:row r="15">
      <x:c r="A15" s="8" t="n">
        <x:v>45345</x:v>
      </x:c>
      <x:c r="B15" s="3" t="inlineStr">
        <x:is>
          <x:t xml:space="preserve">Plano Básico</x:t>
        </x:is>
      </x:c>
      <x:c r="C15" s="3" t="inlineStr">
        <x:is>
          <x:t xml:space="preserve">Rio de Janeiro</x:t>
        </x:is>
      </x:c>
      <x:c r="D15" s="9" t="n">
        <x:v>149.9</x:v>
      </x:c>
      <x:c r="E15" s="5" t="n">
        <x:v>2</x:v>
      </x:c>
      <x:c r="F15" s="9">
        <x:f>ROUND(D15*E15,2)</x:f>
        <x:v>299.8</x:v>
      </x:c>
      <x:c r="G15" s="9" t="n">
        <x:v>29.98</x:v>
      </x:c>
      <x:c r="H15" s="9">
        <x:f>ROUND(F15-G15,2)</x:f>
        <x:v>269.82</x:v>
      </x:c>
      <x:c r="I15" s="3" t="inlineStr">
        <x:is>
          <x:t xml:space="preserve">Jéssica Barbalho</x:t>
        </x:is>
      </x:c>
      <x:c r="J15" s="3" t="inlineStr">
        <x:is>
          <x:t xml:space="preserve">Beatriz Gonçalves</x:t>
        </x:is>
      </x:c>
      <x:c r="K15" s="3" t="str">
        <x:f>IF(B15="Plano Básico","Consulta e internação",IF(B15="Plano Médio","Consulta, emergência e internação","Consulta, emergência, internação e odontologia"))</x:f>
        <x:v>Consulta e internação</x:v>
      </x:c>
    </x:row>
    <x:row r="16">
      <x:c r="A16" s="8" t="n">
        <x:v>45345</x:v>
      </x:c>
      <x:c r="B16" s="3" t="inlineStr">
        <x:is>
          <x:t xml:space="preserve">Plano Médio</x:t>
        </x:is>
      </x:c>
      <x:c r="C16" s="3" t="inlineStr">
        <x:is>
          <x:t xml:space="preserve">Goiás</x:t>
        </x:is>
      </x:c>
      <x:c r="D16" s="9" t="n">
        <x:v>249.9</x:v>
      </x:c>
      <x:c r="E16" s="5" t="n">
        <x:v>1</x:v>
      </x:c>
      <x:c r="F16" s="9">
        <x:f>ROUND(D16*E16,2)</x:f>
        <x:v>249.9</x:v>
      </x:c>
      <x:c r="G16" s="9" t="n">
        <x:v>12.49</x:v>
      </x:c>
      <x:c r="H16" s="9">
        <x:f>ROUND(F16-G16,2)</x:f>
        <x:v>237.41</x:v>
      </x:c>
      <x:c r="I16" s="3" t="inlineStr">
        <x:is>
          <x:t xml:space="preserve">Isabela Gomes</x:t>
        </x:is>
      </x:c>
      <x:c r="J16" s="3" t="inlineStr">
        <x:is>
          <x:t xml:space="preserve">Fernanda Souza</x:t>
        </x:is>
      </x:c>
      <x:c r="K16" s="3" t="str">
        <x:f>IF(B16="Plano Básico","Consulta e internação",IF(B16="Plano Médio","Consulta, emergência e internação","Consulta, emergência, internação e odontologia"))</x:f>
        <x:v>Consulta, emergência e internação</x:v>
      </x:c>
    </x:row>
    <x:row r="17">
      <x:c r="A17" s="8" t="n">
        <x:v>45348</x:v>
      </x:c>
      <x:c r="B17" s="3" t="inlineStr">
        <x:is>
          <x:t xml:space="preserve">Plano Médio</x:t>
        </x:is>
      </x:c>
      <x:c r="C17" s="3" t="inlineStr">
        <x:is>
          <x:t xml:space="preserve">Pernambuco</x:t>
        </x:is>
      </x:c>
      <x:c r="D17" s="9" t="n">
        <x:v>249.9</x:v>
      </x:c>
      <x:c r="E17" s="5" t="n">
        <x:v>1</x:v>
      </x:c>
      <x:c r="F17" s="9">
        <x:f>ROUND(D17*E17,2)</x:f>
        <x:v>249.9</x:v>
      </x:c>
      <x:c r="G17" s="9" t="n">
        <x:v>12.5</x:v>
      </x:c>
      <x:c r="H17" s="9">
        <x:f>ROUND(F17-G17,2)</x:f>
        <x:v>237.4</x:v>
      </x:c>
      <x:c r="I17" s="3" t="inlineStr">
        <x:is>
          <x:t xml:space="preserve">Erica Fernandes</x:t>
        </x:is>
      </x:c>
      <x:c r="J17" s="3" t="inlineStr">
        <x:is>
          <x:t xml:space="preserve">Larissa Rocha</x:t>
        </x:is>
      </x:c>
      <x:c r="K17" s="3" t="str">
        <x:f>IF(B17="Plano Básico","Consulta e internação",IF(B17="Plano Médio","Consulta, emergência e internação","Consulta, emergência, internação e odontologia"))</x:f>
        <x:v>Consulta, emergência e internação</x:v>
      </x:c>
    </x:row>
    <x:row r="18">
      <x:c r="A18" s="8" t="n">
        <x:v>45353</x:v>
      </x:c>
      <x:c r="B18" s="3" t="inlineStr">
        <x:is>
          <x:t xml:space="preserve">Plano Master</x:t>
        </x:is>
      </x:c>
      <x:c r="C18" s="3" t="inlineStr">
        <x:is>
          <x:t xml:space="preserve">São Paulo</x:t>
        </x:is>
      </x:c>
      <x:c r="D18" s="9" t="n">
        <x:v>399.9</x:v>
      </x:c>
      <x:c r="E18" s="5" t="n">
        <x:v>1</x:v>
      </x:c>
      <x:c r="F18" s="9">
        <x:f>ROUND(D18*E18,2)</x:f>
        <x:v>399.9</x:v>
      </x:c>
      <x:c r="G18" s="9" t="n">
        <x:v>31.99</x:v>
      </x:c>
      <x:c r="H18" s="9">
        <x:f>ROUND(F18-G18,2)</x:f>
        <x:v>367.91</x:v>
      </x:c>
      <x:c r="I18" s="3" t="inlineStr">
        <x:is>
          <x:t xml:space="preserve">Adriana Moraes</x:t>
        </x:is>
      </x:c>
      <x:c r="J18" s="3" t="inlineStr">
        <x:is>
          <x:t xml:space="preserve">Fernanda Souza</x:t>
        </x:is>
      </x:c>
      <x:c r="K18" s="3" t="str">
        <x:f>IF(B18="Plano Básico","Consulta e internação",IF(B18="Plano Médio","Consulta, emergência e internação","Consulta, emergência, internação e odontologia"))</x:f>
        <x:v>Consulta, emergência, internação e odontologia</x:v>
      </x:c>
    </x:row>
    <x:row r="19">
      <x:c r="A19" s="8" t="n">
        <x:v>45358</x:v>
      </x:c>
      <x:c r="B19" s="3" t="inlineStr">
        <x:is>
          <x:t xml:space="preserve">Plano Básico</x:t>
        </x:is>
      </x:c>
      <x:c r="C19" s="3" t="inlineStr">
        <x:is>
          <x:t xml:space="preserve">Pernambuco</x:t>
        </x:is>
      </x:c>
      <x:c r="D19" s="9" t="n">
        <x:v>149.9</x:v>
      </x:c>
      <x:c r="E19" s="5" t="n">
        <x:v>2</x:v>
      </x:c>
      <x:c r="F19" s="9">
        <x:f>ROUND(D19*E19,2)</x:f>
        <x:v>299.8</x:v>
      </x:c>
      <x:c r="G19" s="9" t="n">
        <x:v>0</x:v>
      </x:c>
      <x:c r="H19" s="9">
        <x:f>ROUND(F19-G19,2)</x:f>
        <x:v>299.8</x:v>
      </x:c>
      <x:c r="I19" s="3" t="inlineStr">
        <x:is>
          <x:t xml:space="preserve">Larissa Torres</x:t>
        </x:is>
      </x:c>
      <x:c r="J19" s="3" t="inlineStr">
        <x:is>
          <x:t xml:space="preserve">Diego Nascimento</x:t>
        </x:is>
      </x:c>
      <x:c r="K19" s="3" t="str">
        <x:f>IF(B19="Plano Básico","Consulta e internação",IF(B19="Plano Médio","Consulta, emergência e internação","Consulta, emergência, internação e odontologia"))</x:f>
        <x:v>Consulta e internação</x:v>
      </x:c>
    </x:row>
    <x:row r="20">
      <x:c r="A20" s="8" t="n">
        <x:v>45362</x:v>
      </x:c>
      <x:c r="B20" s="3" t="inlineStr">
        <x:is>
          <x:t xml:space="preserve">Plano Básico</x:t>
        </x:is>
      </x:c>
      <x:c r="C20" s="3" t="inlineStr">
        <x:is>
          <x:t xml:space="preserve">Rio de Janeiro</x:t>
        </x:is>
      </x:c>
      <x:c r="D20" s="9" t="n">
        <x:v>149.9</x:v>
      </x:c>
      <x:c r="E20" s="5" t="n">
        <x:v>1</x:v>
      </x:c>
      <x:c r="F20" s="9">
        <x:f>ROUND(D20*E20,2)</x:f>
        <x:v>149.9</x:v>
      </x:c>
      <x:c r="G20" s="9" t="n">
        <x:v>11.99</x:v>
      </x:c>
      <x:c r="H20" s="9">
        <x:f>ROUND(F20-G20,2)</x:f>
        <x:v>137.91</x:v>
      </x:c>
      <x:c r="I20" s="3" t="inlineStr">
        <x:is>
          <x:t xml:space="preserve">Rodrigo Sales</x:t>
        </x:is>
      </x:c>
      <x:c r="J20" s="3" t="inlineStr">
        <x:is>
          <x:t xml:space="preserve">Patrícia Silva</x:t>
        </x:is>
      </x:c>
      <x:c r="K20" s="3" t="str">
        <x:f>IF(B20="Plano Básico","Consulta e internação",IF(B20="Plano Médio","Consulta, emergência e internação","Consulta, emergência, internação e odontologia"))</x:f>
        <x:v>Consulta e internação</x:v>
      </x:c>
    </x:row>
    <x:row r="21">
      <x:c r="A21" s="8" t="n">
        <x:v>45363</x:v>
      </x:c>
      <x:c r="B21" s="3" t="inlineStr">
        <x:is>
          <x:t xml:space="preserve">Plano Médio</x:t>
        </x:is>
      </x:c>
      <x:c r="C21" s="3" t="inlineStr">
        <x:is>
          <x:t xml:space="preserve">São Paulo</x:t>
        </x:is>
      </x:c>
      <x:c r="D21" s="9" t="n">
        <x:v>249.9</x:v>
      </x:c>
      <x:c r="E21" s="5" t="n">
        <x:v>3</x:v>
      </x:c>
      <x:c r="F21" s="9">
        <x:f>ROUND(D21*E21,2)</x:f>
        <x:v>749.7</x:v>
      </x:c>
      <x:c r="G21" s="9" t="n">
        <x:v>37.49</x:v>
      </x:c>
      <x:c r="H21" s="9">
        <x:f>ROUND(F21-G21,2)</x:f>
        <x:v>712.21</x:v>
      </x:c>
      <x:c r="I21" s="3" t="inlineStr">
        <x:is>
          <x:t xml:space="preserve">Murilo Antunes</x:t>
        </x:is>
      </x:c>
      <x:c r="J21" s="3" t="inlineStr">
        <x:is>
          <x:t xml:space="preserve">Juliana Martins</x:t>
        </x:is>
      </x:c>
      <x:c r="K21" s="3" t="str">
        <x:f>IF(B21="Plano Básico","Consulta e internação",IF(B21="Plano Médio","Consulta, emergência e internação","Consulta, emergência, internação e odontologia"))</x:f>
        <x:v>Consulta, emergência e internação</x:v>
      </x:c>
    </x:row>
    <x:row r="22">
      <x:c r="A22" s="8" t="n">
        <x:v>45364</x:v>
      </x:c>
      <x:c r="B22" s="3" t="inlineStr">
        <x:is>
          <x:t xml:space="preserve">Plano Básico</x:t>
        </x:is>
      </x:c>
      <x:c r="C22" s="3" t="inlineStr">
        <x:is>
          <x:t xml:space="preserve">Ceará</x:t>
        </x:is>
      </x:c>
      <x:c r="D22" s="9" t="n">
        <x:v>149.9</x:v>
      </x:c>
      <x:c r="E22" s="5" t="n">
        <x:v>2</x:v>
      </x:c>
      <x:c r="F22" s="9">
        <x:f>ROUND(D22*E22,2)</x:f>
        <x:v>299.8</x:v>
      </x:c>
      <x:c r="G22" s="9" t="n">
        <x:v>14.99</x:v>
      </x:c>
      <x:c r="H22" s="9">
        <x:f>ROUND(F22-G22,2)</x:f>
        <x:v>284.81</x:v>
      </x:c>
      <x:c r="I22" s="3" t="inlineStr">
        <x:is>
          <x:t xml:space="preserve">Iris Peixoto</x:t>
        </x:is>
      </x:c>
      <x:c r="J22" s="3" t="inlineStr">
        <x:is>
          <x:t xml:space="preserve">Juliana Martins</x:t>
        </x:is>
      </x:c>
      <x:c r="K22" s="3" t="str">
        <x:f>IF(B22="Plano Básico","Consulta e internação",IF(B22="Plano Médio","Consulta, emergência e internação","Consulta, emergência, internação e odontologia"))</x:f>
        <x:v>Consulta e internação</x:v>
      </x:c>
    </x:row>
    <x:row r="23">
      <x:c r="A23" s="8" t="n">
        <x:v>45365</x:v>
      </x:c>
      <x:c r="B23" s="3" t="inlineStr">
        <x:is>
          <x:t xml:space="preserve">Plano Master</x:t>
        </x:is>
      </x:c>
      <x:c r="C23" s="3" t="inlineStr">
        <x:is>
          <x:t xml:space="preserve">Paraná</x:t>
        </x:is>
      </x:c>
      <x:c r="D23" s="9" t="n">
        <x:v>399.9</x:v>
      </x:c>
      <x:c r="E23" s="5" t="n">
        <x:v>3</x:v>
      </x:c>
      <x:c r="F23" s="9">
        <x:f>ROUND(D23*E23,2)</x:f>
        <x:v>1199.7</x:v>
      </x:c>
      <x:c r="G23" s="9" t="n">
        <x:v>0</x:v>
      </x:c>
      <x:c r="H23" s="9">
        <x:f>ROUND(F23-G23,2)</x:f>
        <x:v>1199.7</x:v>
      </x:c>
      <x:c r="I23" s="3" t="inlineStr">
        <x:is>
          <x:t xml:space="preserve">Talita Ramos</x:t>
        </x:is>
      </x:c>
      <x:c r="J23" s="3" t="inlineStr">
        <x:is>
          <x:t xml:space="preserve">Larissa Rocha</x:t>
        </x:is>
      </x:c>
      <x:c r="K23" s="3" t="str">
        <x:f>IF(B23="Plano Básico","Consulta e internação",IF(B23="Plano Médio","Consulta, emergência e internação","Consulta, emergência, internação e odontologia"))</x:f>
        <x:v>Consulta, emergência, internação e odontologia</x:v>
      </x:c>
    </x:row>
    <x:row r="24">
      <x:c r="A24" s="8" t="n">
        <x:v>45368</x:v>
      </x:c>
      <x:c r="B24" s="3" t="inlineStr">
        <x:is>
          <x:t xml:space="preserve">Plano Básico</x:t>
        </x:is>
      </x:c>
      <x:c r="C24" s="3" t="inlineStr">
        <x:is>
          <x:t xml:space="preserve">Minas Gerais</x:t>
        </x:is>
      </x:c>
      <x:c r="D24" s="9" t="n">
        <x:v>149.9</x:v>
      </x:c>
      <x:c r="E24" s="5" t="n">
        <x:v>4</x:v>
      </x:c>
      <x:c r="F24" s="9">
        <x:f>ROUND(D24*E24,2)</x:f>
        <x:v>599.6</x:v>
      </x:c>
      <x:c r="G24" s="9" t="n">
        <x:v>0</x:v>
      </x:c>
      <x:c r="H24" s="9">
        <x:f>ROUND(F24-G24,2)</x:f>
        <x:v>599.6</x:v>
      </x:c>
      <x:c r="I24" s="3" t="inlineStr">
        <x:is>
          <x:t xml:space="preserve">João Pedro Santos</x:t>
        </x:is>
      </x:c>
      <x:c r="J24" s="3" t="inlineStr">
        <x:is>
          <x:t xml:space="preserve">Patrícia Silva</x:t>
        </x:is>
      </x:c>
      <x:c r="K24" s="3" t="str">
        <x:f>IF(B24="Plano Básico","Consulta e internação",IF(B24="Plano Médio","Consulta, emergência e internação","Consulta, emergência, internação e odontologia"))</x:f>
        <x:v>Consulta e internação</x:v>
      </x:c>
    </x:row>
    <x:row r="25">
      <x:c r="A25" s="8" t="n">
        <x:v>45380</x:v>
      </x:c>
      <x:c r="B25" s="3" t="inlineStr">
        <x:is>
          <x:t xml:space="preserve">Plano Master</x:t>
        </x:is>
      </x:c>
      <x:c r="C25" s="3" t="inlineStr">
        <x:is>
          <x:t xml:space="preserve">Goiás</x:t>
        </x:is>
      </x:c>
      <x:c r="D25" s="9" t="n">
        <x:v>399.9</x:v>
      </x:c>
      <x:c r="E25" s="5" t="n">
        <x:v>3</x:v>
      </x:c>
      <x:c r="F25" s="9">
        <x:f>ROUND(D25*E25,2)</x:f>
        <x:v>1199.7</x:v>
      </x:c>
      <x:c r="G25" s="9" t="n">
        <x:v>0</x:v>
      </x:c>
      <x:c r="H25" s="9">
        <x:f>ROUND(F25-G25,2)</x:f>
        <x:v>1199.7</x:v>
      </x:c>
      <x:c r="I25" s="3" t="inlineStr">
        <x:is>
          <x:t xml:space="preserve">Gustavo Bittencourt</x:t>
        </x:is>
      </x:c>
      <x:c r="J25" s="3" t="inlineStr">
        <x:is>
          <x:t xml:space="preserve">Carlos Lima</x:t>
        </x:is>
      </x:c>
      <x:c r="K25" s="3" t="str">
        <x:f>IF(B25="Plano Básico","Consulta e internação",IF(B25="Plano Médio","Consulta, emergência e internação","Consulta, emergência, internação e odontologia"))</x:f>
        <x:v>Consulta, emergência, internação e odontologia</x:v>
      </x:c>
    </x:row>
    <x:row r="26">
      <x:c r="A26" s="8" t="n">
        <x:v>45380</x:v>
      </x:c>
      <x:c r="B26" s="3" t="inlineStr">
        <x:is>
          <x:t xml:space="preserve">Plano Master</x:t>
        </x:is>
      </x:c>
      <x:c r="C26" s="3" t="inlineStr">
        <x:is>
          <x:t xml:space="preserve">Goiás</x:t>
        </x:is>
      </x:c>
      <x:c r="D26" s="9" t="n">
        <x:v>399.9</x:v>
      </x:c>
      <x:c r="E26" s="5" t="n">
        <x:v>1</x:v>
      </x:c>
      <x:c r="F26" s="9">
        <x:f>ROUND(D26*E26,2)</x:f>
        <x:v>399.9</x:v>
      </x:c>
      <x:c r="G26" s="9" t="n">
        <x:v>0</x:v>
      </x:c>
      <x:c r="H26" s="9">
        <x:f>ROUND(F26-G26,2)</x:f>
        <x:v>399.9</x:v>
      </x:c>
      <x:c r="I26" s="3" t="inlineStr">
        <x:is>
          <x:t xml:space="preserve">Erica Fernandes</x:t>
        </x:is>
      </x:c>
      <x:c r="J26" s="3" t="inlineStr">
        <x:is>
          <x:t xml:space="preserve">Juliana Martins</x:t>
        </x:is>
      </x:c>
      <x:c r="K26" s="3" t="str">
        <x:f>IF(B26="Plano Básico","Consulta e internação",IF(B26="Plano Médio","Consulta, emergência e internação","Consulta, emergência, internação e odontologia"))</x:f>
        <x:v>Consulta, emergência, internação e odontologia</x:v>
      </x:c>
    </x:row>
    <x:row r="27">
      <x:c r="A27" s="8" t="n">
        <x:v>45381</x:v>
      </x:c>
      <x:c r="B27" s="3" t="inlineStr">
        <x:is>
          <x:t xml:space="preserve">Plano Master</x:t>
        </x:is>
      </x:c>
      <x:c r="C27" s="3" t="inlineStr">
        <x:is>
          <x:t xml:space="preserve">Bahia</x:t>
        </x:is>
      </x:c>
      <x:c r="D27" s="9" t="n">
        <x:v>399.9</x:v>
      </x:c>
      <x:c r="E27" s="5" t="n">
        <x:v>2</x:v>
      </x:c>
      <x:c r="F27" s="9">
        <x:f>ROUND(D27*E27,2)</x:f>
        <x:v>799.8</x:v>
      </x:c>
      <x:c r="G27" s="9" t="n">
        <x:v>79.98</x:v>
      </x:c>
      <x:c r="H27" s="9">
        <x:f>ROUND(F27-G27,2)</x:f>
        <x:v>719.82</x:v>
      </x:c>
      <x:c r="I27" s="3" t="inlineStr">
        <x:is>
          <x:t xml:space="preserve">Erica Fernandes</x:t>
        </x:is>
      </x:c>
      <x:c r="J27" s="3" t="inlineStr">
        <x:is>
          <x:t xml:space="preserve">Larissa Rocha</x:t>
        </x:is>
      </x:c>
      <x:c r="K27" s="3" t="str">
        <x:f>IF(B27="Plano Básico","Consulta e internação",IF(B27="Plano Médio","Consulta, emergência e internação","Consulta, emergência, internação e odontologia"))</x:f>
        <x:v>Consulta, emergência, internação e odontologia</x:v>
      </x:c>
    </x:row>
    <x:row r="28">
      <x:c r="A28" s="8" t="n">
        <x:v>45385</x:v>
      </x:c>
      <x:c r="B28" s="3" t="inlineStr">
        <x:is>
          <x:t xml:space="preserve">Plano Master</x:t>
        </x:is>
      </x:c>
      <x:c r="C28" s="3" t="inlineStr">
        <x:is>
          <x:t xml:space="preserve">Ceará</x:t>
        </x:is>
      </x:c>
      <x:c r="D28" s="9" t="n">
        <x:v>399.9</x:v>
      </x:c>
      <x:c r="E28" s="5" t="n">
        <x:v>2</x:v>
      </x:c>
      <x:c r="F28" s="9">
        <x:f>ROUND(D28*E28,2)</x:f>
        <x:v>799.8</x:v>
      </x:c>
      <x:c r="G28" s="9" t="n">
        <x:v>0</x:v>
      </x:c>
      <x:c r="H28" s="9">
        <x:f>ROUND(F28-G28,2)</x:f>
        <x:v>799.8</x:v>
      </x:c>
      <x:c r="I28" s="3" t="inlineStr">
        <x:is>
          <x:t xml:space="preserve">Aline Queiroz</x:t>
        </x:is>
      </x:c>
      <x:c r="J28" s="3" t="inlineStr">
        <x:is>
          <x:t xml:space="preserve">Beatriz Gonçalves</x:t>
        </x:is>
      </x:c>
      <x:c r="K28" s="3" t="str">
        <x:f>IF(B28="Plano Básico","Consulta e internação",IF(B28="Plano Médio","Consulta, emergência e internação","Consulta, emergência, internação e odontologia"))</x:f>
        <x:v>Consulta, emergência, internação e odontologia</x:v>
      </x:c>
    </x:row>
    <x:row r="29">
      <x:c r="A29" s="8" t="n">
        <x:v>45394</x:v>
      </x:c>
      <x:c r="B29" s="3" t="inlineStr">
        <x:is>
          <x:t xml:space="preserve">Plano Médio</x:t>
        </x:is>
      </x:c>
      <x:c r="C29" s="3" t="inlineStr">
        <x:is>
          <x:t xml:space="preserve">Paraná</x:t>
        </x:is>
      </x:c>
      <x:c r="D29" s="9" t="n">
        <x:v>249.9</x:v>
      </x:c>
      <x:c r="E29" s="5" t="n">
        <x:v>1</x:v>
      </x:c>
      <x:c r="F29" s="9">
        <x:f>ROUND(D29*E29,2)</x:f>
        <x:v>249.9</x:v>
      </x:c>
      <x:c r="G29" s="9" t="n">
        <x:v>0</x:v>
      </x:c>
      <x:c r="H29" s="9">
        <x:f>ROUND(F29-G29,2)</x:f>
        <x:v>249.9</x:v>
      </x:c>
      <x:c r="I29" s="3" t="inlineStr">
        <x:is>
          <x:t xml:space="preserve">Talita Ramos</x:t>
        </x:is>
      </x:c>
      <x:c r="J29" s="3" t="inlineStr">
        <x:is>
          <x:t xml:space="preserve">Beatriz Gonçalves</x:t>
        </x:is>
      </x:c>
      <x:c r="K29" s="3" t="str">
        <x:f>IF(B29="Plano Básico","Consulta e internação",IF(B29="Plano Médio","Consulta, emergência e internação","Consulta, emergência, internação e odontologia"))</x:f>
        <x:v>Consulta, emergência e internação</x:v>
      </x:c>
    </x:row>
    <x:row r="30">
      <x:c r="A30" s="8" t="n">
        <x:v>45400</x:v>
      </x:c>
      <x:c r="B30" s="3" t="inlineStr">
        <x:is>
          <x:t xml:space="preserve">Plano Básico</x:t>
        </x:is>
      </x:c>
      <x:c r="C30" s="3" t="inlineStr">
        <x:is>
          <x:t xml:space="preserve">Rio Grande do Sul</x:t>
        </x:is>
      </x:c>
      <x:c r="D30" s="9" t="n">
        <x:v>149.9</x:v>
      </x:c>
      <x:c r="E30" s="5" t="n">
        <x:v>1</x:v>
      </x:c>
      <x:c r="F30" s="9">
        <x:f>ROUND(D30*E30,2)</x:f>
        <x:v>149.9</x:v>
      </x:c>
      <x:c r="G30" s="9" t="n">
        <x:v>12.49</x:v>
      </x:c>
      <x:c r="H30" s="9">
        <x:f>ROUND(F30-G30,2)</x:f>
        <x:v>137.41</x:v>
      </x:c>
      <x:c r="I30" s="3" t="inlineStr">
        <x:is>
          <x:t xml:space="preserve">William Fonseca</x:t>
        </x:is>
      </x:c>
      <x:c r="J30" s="3" t="inlineStr">
        <x:is>
          <x:t xml:space="preserve">Larissa Rocha</x:t>
        </x:is>
      </x:c>
      <x:c r="K30" s="3" t="str">
        <x:f>IF(B30="Plano Básico","Consulta e internação",IF(B30="Plano Médio","Consulta, emergência e internação","Consulta, emergência, internação e odontologia"))</x:f>
        <x:v>Consulta e internação</x:v>
      </x:c>
    </x:row>
    <x:row r="31">
      <x:c r="A31" s="8" t="n">
        <x:v>45401</x:v>
      </x:c>
      <x:c r="B31" s="3" t="inlineStr">
        <x:is>
          <x:t xml:space="preserve">Plano Master</x:t>
        </x:is>
      </x:c>
      <x:c r="C31" s="3" t="inlineStr">
        <x:is>
          <x:t xml:space="preserve">Ceará</x:t>
        </x:is>
      </x:c>
      <x:c r="D31" s="9" t="n">
        <x:v>399.9</x:v>
      </x:c>
      <x:c r="E31" s="5" t="n">
        <x:v>2</x:v>
      </x:c>
      <x:c r="F31" s="9">
        <x:f>ROUND(D31*E31,2)</x:f>
        <x:v>799.8</x:v>
      </x:c>
      <x:c r="G31" s="9" t="n">
        <x:v>39.99</x:v>
      </x:c>
      <x:c r="H31" s="9">
        <x:f>ROUND(F31-G31,2)</x:f>
        <x:v>759.81</x:v>
      </x:c>
      <x:c r="I31" s="3" t="inlineStr">
        <x:is>
          <x:t xml:space="preserve">Tatiane Moura</x:t>
        </x:is>
      </x:c>
      <x:c r="J31" s="3" t="inlineStr">
        <x:is>
          <x:t xml:space="preserve">Larissa Rocha</x:t>
        </x:is>
      </x:c>
      <x:c r="K31" s="3" t="str">
        <x:f>IF(B31="Plano Básico","Consulta e internação",IF(B31="Plano Médio","Consulta, emergência e internação","Consulta, emergência, internação e odontologia"))</x:f>
        <x:v>Consulta, emergência, internação e odontologia</x:v>
      </x:c>
    </x:row>
    <x:row r="32">
      <x:c r="A32" s="8" t="n">
        <x:v>45404</x:v>
      </x:c>
      <x:c r="B32" s="3" t="inlineStr">
        <x:is>
          <x:t xml:space="preserve">Plano Master</x:t>
        </x:is>
      </x:c>
      <x:c r="C32" s="3" t="inlineStr">
        <x:is>
          <x:t xml:space="preserve">Bahia</x:t>
        </x:is>
      </x:c>
      <x:c r="D32" s="9" t="n">
        <x:v>399.9</x:v>
      </x:c>
      <x:c r="E32" s="5" t="n">
        <x:v>1</x:v>
      </x:c>
      <x:c r="F32" s="9">
        <x:f>ROUND(D32*E32,2)</x:f>
        <x:v>399.9</x:v>
      </x:c>
      <x:c r="G32" s="9" t="n">
        <x:v>0</x:v>
      </x:c>
      <x:c r="H32" s="9">
        <x:f>ROUND(F32-G32,2)</x:f>
        <x:v>399.9</x:v>
      </x:c>
      <x:c r="I32" s="3" t="inlineStr">
        <x:is>
          <x:t xml:space="preserve">Kleber Monteiro</x:t>
        </x:is>
      </x:c>
      <x:c r="J32" s="3" t="inlineStr">
        <x:is>
          <x:t xml:space="preserve">Larissa Rocha</x:t>
        </x:is>
      </x:c>
      <x:c r="K32" s="3" t="str">
        <x:f>IF(B32="Plano Básico","Consulta e internação",IF(B32="Plano Médio","Consulta, emergência e internação","Consulta, emergência, internação e odontologia"))</x:f>
        <x:v>Consulta, emergência, internação e odontologia</x:v>
      </x:c>
    </x:row>
    <x:row r="33">
      <x:c r="A33" s="8" t="n">
        <x:v>45407</x:v>
      </x:c>
      <x:c r="B33" s="3" t="inlineStr">
        <x:is>
          <x:t xml:space="preserve">Plano Médio</x:t>
        </x:is>
      </x:c>
      <x:c r="C33" s="3" t="inlineStr">
        <x:is>
          <x:t xml:space="preserve">Goiás</x:t>
        </x:is>
      </x:c>
      <x:c r="D33" s="9" t="n">
        <x:v>249.9</x:v>
      </x:c>
      <x:c r="E33" s="5" t="n">
        <x:v>1</x:v>
      </x:c>
      <x:c r="F33" s="9">
        <x:f>ROUND(D33*E33,2)</x:f>
        <x:v>249.9</x:v>
      </x:c>
      <x:c r="G33" s="9" t="n">
        <x:v>0</x:v>
      </x:c>
      <x:c r="H33" s="9">
        <x:f>ROUND(F33-G33,2)</x:f>
        <x:v>249.9</x:v>
      </x:c>
      <x:c r="I33" s="3" t="inlineStr">
        <x:is>
          <x:t xml:space="preserve">Camila Ribeiro</x:t>
        </x:is>
      </x:c>
      <x:c r="J33" s="3" t="inlineStr">
        <x:is>
          <x:t xml:space="preserve">Guilherme Araújo</x:t>
        </x:is>
      </x:c>
      <x:c r="K33" s="3" t="str">
        <x:f>IF(B33="Plano Básico","Consulta e internação",IF(B33="Plano Médio","Consulta, emergência e internação","Consulta, emergência, internação e odontologia"))</x:f>
        <x:v>Consulta, emergência e internação</x:v>
      </x:c>
    </x:row>
    <x:row r="34">
      <x:c r="A34" s="8" t="n">
        <x:v>45409</x:v>
      </x:c>
      <x:c r="B34" s="3" t="inlineStr">
        <x:is>
          <x:t xml:space="preserve">Plano Básico</x:t>
        </x:is>
      </x:c>
      <x:c r="C34" s="3" t="inlineStr">
        <x:is>
          <x:t xml:space="preserve">Ceará</x:t>
        </x:is>
      </x:c>
      <x:c r="D34" s="9" t="n">
        <x:v>149.9</x:v>
      </x:c>
      <x:c r="E34" s="5" t="n">
        <x:v>3</x:v>
      </x:c>
      <x:c r="F34" s="9">
        <x:f>ROUND(D34*E34,2)</x:f>
        <x:v>449.7</x:v>
      </x:c>
      <x:c r="G34" s="9" t="n">
        <x:v>0</x:v>
      </x:c>
      <x:c r="H34" s="9">
        <x:f>ROUND(F34-G34,2)</x:f>
        <x:v>449.7</x:v>
      </x:c>
      <x:c r="I34" s="3" t="inlineStr">
        <x:is>
          <x:t xml:space="preserve">Luciana Paiva</x:t>
        </x:is>
      </x:c>
      <x:c r="J34" s="3" t="inlineStr">
        <x:is>
          <x:t xml:space="preserve">Carlos Lima</x:t>
        </x:is>
      </x:c>
      <x:c r="K34" s="3" t="str">
        <x:f>IF(B34="Plano Básico","Consulta e internação",IF(B34="Plano Médio","Consulta, emergência e internação","Consulta, emergência, internação e odontologia"))</x:f>
        <x:v>Consulta e internação</x:v>
      </x:c>
    </x:row>
    <x:row r="35">
      <x:c r="A35" s="8" t="n">
        <x:v>45410</x:v>
      </x:c>
      <x:c r="B35" s="3" t="inlineStr">
        <x:is>
          <x:t xml:space="preserve">Plano Médio</x:t>
        </x:is>
      </x:c>
      <x:c r="C35" s="3" t="inlineStr">
        <x:is>
          <x:t xml:space="preserve">Ceará</x:t>
        </x:is>
      </x:c>
      <x:c r="D35" s="9" t="n">
        <x:v>249.9</x:v>
      </x:c>
      <x:c r="E35" s="5" t="n">
        <x:v>3</x:v>
      </x:c>
      <x:c r="F35" s="9">
        <x:f>ROUND(D35*E35,2)</x:f>
        <x:v>749.7</x:v>
      </x:c>
      <x:c r="G35" s="9" t="n">
        <x:v>22.49</x:v>
      </x:c>
      <x:c r="H35" s="9">
        <x:f>ROUND(F35-G35,2)</x:f>
        <x:v>727.21</x:v>
      </x:c>
      <x:c r="I35" s="3" t="inlineStr">
        <x:is>
          <x:t xml:space="preserve">Vinícius Azevedo</x:t>
        </x:is>
      </x:c>
      <x:c r="J35" s="3" t="inlineStr">
        <x:is>
          <x:t xml:space="preserve">Beatriz Gonçalves</x:t>
        </x:is>
      </x:c>
      <x:c r="K35" s="3" t="str">
        <x:f>IF(B35="Plano Básico","Consulta e internação",IF(B35="Plano Médio","Consulta, emergência e internação","Consulta, emergência, internação e odontologia"))</x:f>
        <x:v>Consulta, emergência e internação</x:v>
      </x:c>
    </x:row>
    <x:row r="36">
      <x:c r="A36" s="8" t="n">
        <x:v>45411</x:v>
      </x:c>
      <x:c r="B36" s="3" t="inlineStr">
        <x:is>
          <x:t xml:space="preserve">Plano Básico</x:t>
        </x:is>
      </x:c>
      <x:c r="C36" s="3" t="inlineStr">
        <x:is>
          <x:t xml:space="preserve">Ceará</x:t>
        </x:is>
      </x:c>
      <x:c r="D36" s="9" t="n">
        <x:v>149.9</x:v>
      </x:c>
      <x:c r="E36" s="5" t="n">
        <x:v>2</x:v>
      </x:c>
      <x:c r="F36" s="9">
        <x:f>ROUND(D36*E36,2)</x:f>
        <x:v>299.8</x:v>
      </x:c>
      <x:c r="G36" s="9" t="n">
        <x:v>0</x:v>
      </x:c>
      <x:c r="H36" s="9">
        <x:f>ROUND(F36-G36,2)</x:f>
        <x:v>299.8</x:v>
      </x:c>
      <x:c r="I36" s="3" t="inlineStr">
        <x:is>
          <x:t xml:space="preserve">Priscila Matos</x:t>
        </x:is>
      </x:c>
      <x:c r="J36" s="3" t="inlineStr">
        <x:is>
          <x:t xml:space="preserve">Marcos Vinícius</x:t>
        </x:is>
      </x:c>
      <x:c r="K36" s="3" t="str">
        <x:f>IF(B36="Plano Básico","Consulta e internação",IF(B36="Plano Médio","Consulta, emergência e internação","Consulta, emergência, internação e odontologia"))</x:f>
        <x:v>Consulta e internação</x:v>
      </x:c>
    </x:row>
    <x:row r="37">
      <x:c r="A37" s="8" t="n">
        <x:v>45427</x:v>
      </x:c>
      <x:c r="B37" s="3" t="inlineStr">
        <x:is>
          <x:t xml:space="preserve">Plano Básico</x:t>
        </x:is>
      </x:c>
      <x:c r="C37" s="3" t="inlineStr">
        <x:is>
          <x:t xml:space="preserve">Santa Catarina</x:t>
        </x:is>
      </x:c>
      <x:c r="D37" s="9" t="n">
        <x:v>149.9</x:v>
      </x:c>
      <x:c r="E37" s="5" t="n">
        <x:v>1</x:v>
      </x:c>
      <x:c r="F37" s="9">
        <x:f>ROUND(D37*E37,2)</x:f>
        <x:v>149.9</x:v>
      </x:c>
      <x:c r="G37" s="9" t="n">
        <x:v>9.49</x:v>
      </x:c>
      <x:c r="H37" s="9">
        <x:f>ROUND(F37-G37,2)</x:f>
        <x:v>140.41</x:v>
      </x:c>
      <x:c r="I37" s="3" t="inlineStr">
        <x:is>
          <x:t xml:space="preserve">Debora Sampaio</x:t>
        </x:is>
      </x:c>
      <x:c r="J37" s="3" t="inlineStr">
        <x:is>
          <x:t xml:space="preserve">Juliana Martins</x:t>
        </x:is>
      </x:c>
      <x:c r="K37" s="3" t="str">
        <x:f>IF(B37="Plano Básico","Consulta e internação",IF(B37="Plano Médio","Consulta, emergência e internação","Consulta, emergência, internação e odontologia"))</x:f>
        <x:v>Consulta e internação</x:v>
      </x:c>
    </x:row>
    <x:row r="38">
      <x:c r="A38" s="8" t="n">
        <x:v>45428</x:v>
      </x:c>
      <x:c r="B38" s="3" t="inlineStr">
        <x:is>
          <x:t xml:space="preserve">Plano Básico</x:t>
        </x:is>
      </x:c>
      <x:c r="C38" s="3" t="inlineStr">
        <x:is>
          <x:t xml:space="preserve">Bahia</x:t>
        </x:is>
      </x:c>
      <x:c r="D38" s="9" t="n">
        <x:v>149.9</x:v>
      </x:c>
      <x:c r="E38" s="5" t="n">
        <x:v>4</x:v>
      </x:c>
      <x:c r="F38" s="9">
        <x:f>ROUND(D38*E38,2)</x:f>
        <x:v>599.6</x:v>
      </x:c>
      <x:c r="G38" s="9" t="n">
        <x:v>59.96</x:v>
      </x:c>
      <x:c r="H38" s="9">
        <x:f>ROUND(F38-G38,2)</x:f>
        <x:v>539.64</x:v>
      </x:c>
      <x:c r="I38" s="3" t="inlineStr">
        <x:is>
          <x:t xml:space="preserve">Helena Coelho</x:t>
        </x:is>
      </x:c>
      <x:c r="J38" s="3" t="inlineStr">
        <x:is>
          <x:t xml:space="preserve">Larissa Rocha</x:t>
        </x:is>
      </x:c>
      <x:c r="K38" s="3" t="str">
        <x:f>IF(B38="Plano Básico","Consulta e internação",IF(B38="Plano Médio","Consulta, emergência e internação","Consulta, emergência, internação e odontologia"))</x:f>
        <x:v>Consulta e internação</x:v>
      </x:c>
    </x:row>
    <x:row r="39">
      <x:c r="A39" s="8" t="n">
        <x:v>45428</x:v>
      </x:c>
      <x:c r="B39" s="3" t="inlineStr">
        <x:is>
          <x:t xml:space="preserve">Plano Médio</x:t>
        </x:is>
      </x:c>
      <x:c r="C39" s="3" t="inlineStr">
        <x:is>
          <x:t xml:space="preserve">Bahia</x:t>
        </x:is>
      </x:c>
      <x:c r="D39" s="9" t="n">
        <x:v>249.9</x:v>
      </x:c>
      <x:c r="E39" s="5" t="n">
        <x:v>2</x:v>
      </x:c>
      <x:c r="F39" s="9">
        <x:f>ROUND(D39*E39,2)</x:f>
        <x:v>499.8</x:v>
      </x:c>
      <x:c r="G39" s="9" t="n">
        <x:v>0</x:v>
      </x:c>
      <x:c r="H39" s="9">
        <x:f>ROUND(F39-G39,2)</x:f>
        <x:v>499.8</x:v>
      </x:c>
      <x:c r="I39" s="3" t="inlineStr">
        <x:is>
          <x:t xml:space="preserve">Yasmin Batista</x:t>
        </x:is>
      </x:c>
      <x:c r="J39" s="3" t="inlineStr">
        <x:is>
          <x:t xml:space="preserve">Fernanda Souza</x:t>
        </x:is>
      </x:c>
      <x:c r="K39" s="3" t="str">
        <x:f>IF(B39="Plano Básico","Consulta e internação",IF(B39="Plano Médio","Consulta, emergência e internação","Consulta, emergência, internação e odontologia"))</x:f>
        <x:v>Consulta, emergência e internação</x:v>
      </x:c>
    </x:row>
    <x:row r="40">
      <x:c r="A40" s="8" t="n">
        <x:v>45428</x:v>
      </x:c>
      <x:c r="B40" s="3" t="inlineStr">
        <x:is>
          <x:t xml:space="preserve">Plano Básico</x:t>
        </x:is>
      </x:c>
      <x:c r="C40" s="3" t="inlineStr">
        <x:is>
          <x:t xml:space="preserve">Goiás</x:t>
        </x:is>
      </x:c>
      <x:c r="D40" s="9" t="n">
        <x:v>149.9</x:v>
      </x:c>
      <x:c r="E40" s="5" t="n">
        <x:v>3</x:v>
      </x:c>
      <x:c r="F40" s="9">
        <x:f>ROUND(D40*E40,2)</x:f>
        <x:v>449.7</x:v>
      </x:c>
      <x:c r="G40" s="9" t="n">
        <x:v>22.48</x:v>
      </x:c>
      <x:c r="H40" s="9">
        <x:f>ROUND(F40-G40,2)</x:f>
        <x:v>427.22</x:v>
      </x:c>
      <x:c r="I40" s="3" t="inlineStr">
        <x:is>
          <x:t xml:space="preserve">Iris Peixoto</x:t>
        </x:is>
      </x:c>
      <x:c r="J40" s="3" t="inlineStr">
        <x:is>
          <x:t xml:space="preserve">Fernanda Souza</x:t>
        </x:is>
      </x:c>
      <x:c r="K40" s="3" t="str">
        <x:f>IF(B40="Plano Básico","Consulta e internação",IF(B40="Plano Médio","Consulta, emergência e internação","Consulta, emergência, internação e odontologia"))</x:f>
        <x:v>Consulta e internação</x:v>
      </x:c>
    </x:row>
    <x:row r="41">
      <x:c r="A41" s="8" t="n">
        <x:v>45432</x:v>
      </x:c>
      <x:c r="B41" s="3" t="inlineStr">
        <x:is>
          <x:t xml:space="preserve">Plano Médio</x:t>
        </x:is>
      </x:c>
      <x:c r="C41" s="3" t="inlineStr">
        <x:is>
          <x:t xml:space="preserve">Rio Grande do Sul</x:t>
        </x:is>
      </x:c>
      <x:c r="D41" s="9" t="n">
        <x:v>249.9</x:v>
      </x:c>
      <x:c r="E41" s="5" t="n">
        <x:v>1</x:v>
      </x:c>
      <x:c r="F41" s="9">
        <x:f>ROUND(D41*E41,2)</x:f>
        <x:v>249.9</x:v>
      </x:c>
      <x:c r="G41" s="9" t="n">
        <x:v>12.49</x:v>
      </x:c>
      <x:c r="H41" s="9">
        <x:f>ROUND(F41-G41,2)</x:f>
        <x:v>237.41</x:v>
      </x:c>
      <x:c r="I41" s="3" t="inlineStr">
        <x:is>
          <x:t xml:space="preserve">Vinícius Azevedo</x:t>
        </x:is>
      </x:c>
      <x:c r="J41" s="3" t="inlineStr">
        <x:is>
          <x:t xml:space="preserve">Marcos Vinícius</x:t>
        </x:is>
      </x:c>
      <x:c r="K41" s="3" t="str">
        <x:f>IF(B41="Plano Básico","Consulta e internação",IF(B41="Plano Médio","Consulta, emergência e internação","Consulta, emergência, internação e odontologia"))</x:f>
        <x:v>Consulta, emergência e internação</x:v>
      </x:c>
    </x:row>
    <x:row r="42">
      <x:c r="A42" s="8" t="n">
        <x:v>45434</x:v>
      </x:c>
      <x:c r="B42" s="3" t="inlineStr">
        <x:is>
          <x:t xml:space="preserve">Plano Básico</x:t>
        </x:is>
      </x:c>
      <x:c r="C42" s="3" t="inlineStr">
        <x:is>
          <x:t xml:space="preserve">Rio de Janeiro</x:t>
        </x:is>
      </x:c>
      <x:c r="D42" s="9" t="n">
        <x:v>149.9</x:v>
      </x:c>
      <x:c r="E42" s="5" t="n">
        <x:v>3</x:v>
      </x:c>
      <x:c r="F42" s="9">
        <x:f>ROUND(D42*E42,2)</x:f>
        <x:v>449.7</x:v>
      </x:c>
      <x:c r="G42" s="9" t="n">
        <x:v>44.97</x:v>
      </x:c>
      <x:c r="H42" s="9">
        <x:f>ROUND(F42-G42,2)</x:f>
        <x:v>404.73</x:v>
      </x:c>
      <x:c r="I42" s="3" t="inlineStr">
        <x:is>
          <x:t xml:space="preserve">Erica Fernandes</x:t>
        </x:is>
      </x:c>
      <x:c r="J42" s="3" t="inlineStr">
        <x:is>
          <x:t xml:space="preserve">Amanda Lopes</x:t>
        </x:is>
      </x:c>
      <x:c r="K42" s="3" t="str">
        <x:f>IF(B42="Plano Básico","Consulta e internação",IF(B42="Plano Médio","Consulta, emergência e internação","Consulta, emergência, internação e odontologia"))</x:f>
        <x:v>Consulta e internação</x:v>
      </x:c>
    </x:row>
    <x:row r="43">
      <x:c r="A43" s="8" t="n">
        <x:v>45438</x:v>
      </x:c>
      <x:c r="B43" s="3" t="inlineStr">
        <x:is>
          <x:t xml:space="preserve">Plano Master</x:t>
        </x:is>
      </x:c>
      <x:c r="C43" s="3" t="inlineStr">
        <x:is>
          <x:t xml:space="preserve">Minas Gerais</x:t>
        </x:is>
      </x:c>
      <x:c r="D43" s="9" t="n">
        <x:v>399.9</x:v>
      </x:c>
      <x:c r="E43" s="5" t="n">
        <x:v>1</x:v>
      </x:c>
      <x:c r="F43" s="9">
        <x:f>ROUND(D43*E43,2)</x:f>
        <x:v>399.9</x:v>
      </x:c>
      <x:c r="G43" s="9" t="n">
        <x:v>0</x:v>
      </x:c>
      <x:c r="H43" s="9">
        <x:f>ROUND(F43-G43,2)</x:f>
        <x:v>399.9</x:v>
      </x:c>
      <x:c r="I43" s="3" t="inlineStr">
        <x:is>
          <x:t xml:space="preserve">Helena Coelho</x:t>
        </x:is>
      </x:c>
      <x:c r="J43" s="3" t="inlineStr">
        <x:is>
          <x:t xml:space="preserve">Fernanda Souza</x:t>
        </x:is>
      </x:c>
      <x:c r="K43" s="3" t="str">
        <x:f>IF(B43="Plano Básico","Consulta e internação",IF(B43="Plano Médio","Consulta, emergência e internação","Consulta, emergência, internação e odontologia"))</x:f>
        <x:v>Consulta, emergência, internação e odontologia</x:v>
      </x:c>
    </x:row>
    <x:row r="44">
      <x:c r="A44" s="8" t="n">
        <x:v>45444</x:v>
      </x:c>
      <x:c r="B44" s="3" t="inlineStr">
        <x:is>
          <x:t xml:space="preserve">Plano Médio</x:t>
        </x:is>
      </x:c>
      <x:c r="C44" s="3" t="inlineStr">
        <x:is>
          <x:t xml:space="preserve">São Paulo</x:t>
        </x:is>
      </x:c>
      <x:c r="D44" s="9" t="n">
        <x:v>249.9</x:v>
      </x:c>
      <x:c r="E44" s="5" t="n">
        <x:v>2</x:v>
      </x:c>
      <x:c r="F44" s="9">
        <x:f>ROUND(D44*E44,2)</x:f>
        <x:v>499.8</x:v>
      </x:c>
      <x:c r="G44" s="9" t="n">
        <x:v>0</x:v>
      </x:c>
      <x:c r="H44" s="9">
        <x:f>ROUND(F44-G44,2)</x:f>
        <x:v>499.8</x:v>
      </x:c>
      <x:c r="I44" s="3" t="inlineStr">
        <x:is>
          <x:t xml:space="preserve">Thiago Cardoso</x:t>
        </x:is>
      </x:c>
      <x:c r="J44" s="3" t="inlineStr">
        <x:is>
          <x:t xml:space="preserve">Guilherme Araújo</x:t>
        </x:is>
      </x:c>
      <x:c r="K44" s="3" t="str">
        <x:f>IF(B44="Plano Básico","Consulta e internação",IF(B44="Plano Médio","Consulta, emergência e internação","Consulta, emergência, internação e odontologia"))</x:f>
        <x:v>Consulta, emergência e internação</x:v>
      </x:c>
    </x:row>
    <x:row r="45">
      <x:c r="A45" s="8" t="n">
        <x:v>45447</x:v>
      </x:c>
      <x:c r="B45" s="3" t="inlineStr">
        <x:is>
          <x:t xml:space="preserve">Plano Básico</x:t>
        </x:is>
      </x:c>
      <x:c r="C45" s="3" t="inlineStr">
        <x:is>
          <x:t xml:space="preserve">Espírito Santo</x:t>
        </x:is>
      </x:c>
      <x:c r="D45" s="9" t="n">
        <x:v>149.9</x:v>
      </x:c>
      <x:c r="E45" s="5" t="n">
        <x:v>1</x:v>
      </x:c>
      <x:c r="F45" s="9">
        <x:f>ROUND(D45*E45,2)</x:f>
        <x:v>149.9</x:v>
      </x:c>
      <x:c r="G45" s="9" t="n">
        <x:v>11.99</x:v>
      </x:c>
      <x:c r="H45" s="9">
        <x:f>ROUND(F45-G45,2)</x:f>
        <x:v>137.91</x:v>
      </x:c>
      <x:c r="I45" s="3" t="inlineStr">
        <x:is>
          <x:t xml:space="preserve">João Pedro Santos</x:t>
        </x:is>
      </x:c>
      <x:c r="J45" s="3" t="inlineStr">
        <x:is>
          <x:t xml:space="preserve">Diego Nascimento</x:t>
        </x:is>
      </x:c>
      <x:c r="K45" s="3" t="str">
        <x:f>IF(B45="Plano Básico","Consulta e internação",IF(B45="Plano Médio","Consulta, emergência e internação","Consulta, emergência, internação e odontologia"))</x:f>
        <x:v>Consulta e internação</x:v>
      </x:c>
    </x:row>
    <x:row r="46">
      <x:c r="A46" s="8" t="n">
        <x:v>45449</x:v>
      </x:c>
      <x:c r="B46" s="3" t="inlineStr">
        <x:is>
          <x:t xml:space="preserve">Plano Master</x:t>
        </x:is>
      </x:c>
      <x:c r="C46" s="3" t="inlineStr">
        <x:is>
          <x:t xml:space="preserve">Pernambuco</x:t>
        </x:is>
      </x:c>
      <x:c r="D46" s="9" t="n">
        <x:v>399.9</x:v>
      </x:c>
      <x:c r="E46" s="5" t="n">
        <x:v>1</x:v>
      </x:c>
      <x:c r="F46" s="9">
        <x:f>ROUND(D46*E46,2)</x:f>
        <x:v>399.9</x:v>
      </x:c>
      <x:c r="G46" s="9" t="n">
        <x:v>31.99</x:v>
      </x:c>
      <x:c r="H46" s="9">
        <x:f>ROUND(F46-G46,2)</x:f>
        <x:v>367.91</x:v>
      </x:c>
      <x:c r="I46" s="3" t="inlineStr">
        <x:is>
          <x:t xml:space="preserve">Eduarda Ferreira</x:t>
        </x:is>
      </x:c>
      <x:c r="J46" s="3" t="inlineStr">
        <x:is>
          <x:t xml:space="preserve">Juliana Martins</x:t>
        </x:is>
      </x:c>
      <x:c r="K46" s="3" t="str">
        <x:f>IF(B46="Plano Básico","Consulta e internação",IF(B46="Plano Médio","Consulta, emergência e internação","Consulta, emergência, internação e odontologia"))</x:f>
        <x:v>Consulta, emergência, internação e odontologia</x:v>
      </x:c>
    </x:row>
    <x:row r="47">
      <x:c r="A47" s="8" t="n">
        <x:v>45449</x:v>
      </x:c>
      <x:c r="B47" s="3" t="inlineStr">
        <x:is>
          <x:t xml:space="preserve">Plano Médio</x:t>
        </x:is>
      </x:c>
      <x:c r="C47" s="3" t="inlineStr">
        <x:is>
          <x:t xml:space="preserve">Goiás</x:t>
        </x:is>
      </x:c>
      <x:c r="D47" s="9" t="n">
        <x:v>249.9</x:v>
      </x:c>
      <x:c r="E47" s="5" t="n">
        <x:v>2</x:v>
      </x:c>
      <x:c r="F47" s="9">
        <x:f>ROUND(D47*E47,2)</x:f>
        <x:v>499.8</x:v>
      </x:c>
      <x:c r="G47" s="9" t="n">
        <x:v>0</x:v>
      </x:c>
      <x:c r="H47" s="9">
        <x:f>ROUND(F47-G47,2)</x:f>
        <x:v>499.8</x:v>
      </x:c>
      <x:c r="I47" s="3" t="inlineStr">
        <x:is>
          <x:t xml:space="preserve">Gustavo Bittencourt</x:t>
        </x:is>
      </x:c>
      <x:c r="J47" s="3" t="inlineStr">
        <x:is>
          <x:t xml:space="preserve">Marcos Vinícius</x:t>
        </x:is>
      </x:c>
      <x:c r="K47" s="3" t="str">
        <x:f>IF(B47="Plano Básico","Consulta e internação",IF(B47="Plano Médio","Consulta, emergência e internação","Consulta, emergência, internação e odontologia"))</x:f>
        <x:v>Consulta, emergência e internação</x:v>
      </x:c>
    </x:row>
    <x:row r="48">
      <x:c r="A48" s="8" t="n">
        <x:v>45452</x:v>
      </x:c>
      <x:c r="B48" s="3" t="inlineStr">
        <x:is>
          <x:t xml:space="preserve">Plano Médio</x:t>
        </x:is>
      </x:c>
      <x:c r="C48" s="3" t="inlineStr">
        <x:is>
          <x:t xml:space="preserve">Pernambuco</x:t>
        </x:is>
      </x:c>
      <x:c r="D48" s="9" t="n">
        <x:v>249.9</x:v>
      </x:c>
      <x:c r="E48" s="5" t="n">
        <x:v>2</x:v>
      </x:c>
      <x:c r="F48" s="9">
        <x:f>ROUND(D48*E48,2)</x:f>
        <x:v>499.8</x:v>
      </x:c>
      <x:c r="G48" s="9" t="n">
        <x:v>14.99</x:v>
      </x:c>
      <x:c r="H48" s="9">
        <x:f>ROUND(F48-G48,2)</x:f>
        <x:v>484.81</x:v>
      </x:c>
      <x:c r="I48" s="3" t="inlineStr">
        <x:is>
          <x:t xml:space="preserve">Nathan Barros</x:t>
        </x:is>
      </x:c>
      <x:c r="J48" s="3" t="inlineStr">
        <x:is>
          <x:t xml:space="preserve">Guilherme Araújo</x:t>
        </x:is>
      </x:c>
      <x:c r="K48" s="3" t="str">
        <x:f>IF(B48="Plano Básico","Consulta e internação",IF(B48="Plano Médio","Consulta, emergência e internação","Consulta, emergência, internação e odontologia"))</x:f>
        <x:v>Consulta, emergência e internação</x:v>
      </x:c>
    </x:row>
    <x:row r="49">
      <x:c r="A49" s="8" t="n">
        <x:v>45454</x:v>
      </x:c>
      <x:c r="B49" s="3" t="inlineStr">
        <x:is>
          <x:t xml:space="preserve">Plano Básico</x:t>
        </x:is>
      </x:c>
      <x:c r="C49" s="3" t="inlineStr">
        <x:is>
          <x:t xml:space="preserve">Espírito Santo</x:t>
        </x:is>
      </x:c>
      <x:c r="D49" s="9" t="n">
        <x:v>149.9</x:v>
      </x:c>
      <x:c r="E49" s="5" t="n">
        <x:v>3</x:v>
      </x:c>
      <x:c r="F49" s="9">
        <x:f>ROUND(D49*E49,2)</x:f>
        <x:v>449.7</x:v>
      </x:c>
      <x:c r="G49" s="9" t="n">
        <x:v>0</x:v>
      </x:c>
      <x:c r="H49" s="9">
        <x:f>ROUND(F49-G49,2)</x:f>
        <x:v>449.7</x:v>
      </x:c>
      <x:c r="I49" s="3" t="inlineStr">
        <x:is>
          <x:t xml:space="preserve">Rodrigo Sales</x:t>
        </x:is>
      </x:c>
      <x:c r="J49" s="3" t="inlineStr">
        <x:is>
          <x:t xml:space="preserve">Fernanda Souza</x:t>
        </x:is>
      </x:c>
      <x:c r="K49" s="3" t="str">
        <x:f>IF(B49="Plano Básico","Consulta e internação",IF(B49="Plano Médio","Consulta, emergência e internação","Consulta, emergência, internação e odontologia"))</x:f>
        <x:v>Consulta e internação</x:v>
      </x:c>
    </x:row>
    <x:row r="50">
      <x:c r="A50" s="8" t="n">
        <x:v>45455</x:v>
      </x:c>
      <x:c r="B50" s="3" t="inlineStr">
        <x:is>
          <x:t xml:space="preserve">Plano Master</x:t>
        </x:is>
      </x:c>
      <x:c r="C50" s="3" t="inlineStr">
        <x:is>
          <x:t xml:space="preserve">Goiás</x:t>
        </x:is>
      </x:c>
      <x:c r="D50" s="9" t="n">
        <x:v>399.9</x:v>
      </x:c>
      <x:c r="E50" s="5" t="n">
        <x:v>2</x:v>
      </x:c>
      <x:c r="F50" s="9">
        <x:f>ROUND(D50*E50,2)</x:f>
        <x:v>799.8</x:v>
      </x:c>
      <x:c r="G50" s="9" t="n">
        <x:v>0</x:v>
      </x:c>
      <x:c r="H50" s="9">
        <x:f>ROUND(F50-G50,2)</x:f>
        <x:v>799.8</x:v>
      </x:c>
      <x:c r="I50" s="3" t="inlineStr">
        <x:is>
          <x:t xml:space="preserve">Caio Rezende</x:t>
        </x:is>
      </x:c>
      <x:c r="J50" s="3" t="inlineStr">
        <x:is>
          <x:t xml:space="preserve">Beatriz Gonçalves</x:t>
        </x:is>
      </x:c>
      <x:c r="K50" s="3" t="str">
        <x:f>IF(B50="Plano Básico","Consulta e internação",IF(B50="Plano Médio","Consulta, emergência e internação","Consulta, emergência, internação e odontologia"))</x:f>
        <x:v>Consulta, emergência, internação e odontologia</x:v>
      </x:c>
    </x:row>
    <x:row r="51">
      <x:c r="A51" s="8" t="n">
        <x:v>45470</x:v>
      </x:c>
      <x:c r="B51" s="3" t="inlineStr">
        <x:is>
          <x:t xml:space="preserve">Plano Básico</x:t>
        </x:is>
      </x:c>
      <x:c r="C51" s="3" t="inlineStr">
        <x:is>
          <x:t xml:space="preserve">Minas Gerais</x:t>
        </x:is>
      </x:c>
      <x:c r="D51" s="9" t="n">
        <x:v>149.9</x:v>
      </x:c>
      <x:c r="E51" s="5" t="n">
        <x:v>3</x:v>
      </x:c>
      <x:c r="F51" s="9">
        <x:f>ROUND(D51*E51,2)</x:f>
        <x:v>449.7</x:v>
      </x:c>
      <x:c r="G51" s="9" t="n">
        <x:v>0</x:v>
      </x:c>
      <x:c r="H51" s="9">
        <x:f>ROUND(F51-G51,2)</x:f>
        <x:v>449.7</x:v>
      </x:c>
      <x:c r="I51" s="3" t="inlineStr">
        <x:is>
          <x:t xml:space="preserve">Ana Beatriz Costa</x:t>
        </x:is>
      </x:c>
      <x:c r="J51" s="3" t="inlineStr">
        <x:is>
          <x:t xml:space="preserve">Juliana Martins</x:t>
        </x:is>
      </x:c>
      <x:c r="K51" s="3" t="str">
        <x:f>IF(B51="Plano Básico","Consulta e internação",IF(B51="Plano Médio","Consulta, emergência e internação","Consulta, emergência, internação e odontologia"))</x:f>
        <x:v>Consulta e internação</x:v>
      </x:c>
    </x:row>
    <x:row r="52">
      <x:c r="A52" s="8" t="n">
        <x:v>45471</x:v>
      </x:c>
      <x:c r="B52" s="3" t="inlineStr">
        <x:is>
          <x:t xml:space="preserve">Plano Médio</x:t>
        </x:is>
      </x:c>
      <x:c r="C52" s="3" t="inlineStr">
        <x:is>
          <x:t xml:space="preserve">Rio Grande do Sul</x:t>
        </x:is>
      </x:c>
      <x:c r="D52" s="9" t="n">
        <x:v>249.9</x:v>
      </x:c>
      <x:c r="E52" s="5" t="n">
        <x:v>4</x:v>
      </x:c>
      <x:c r="F52" s="9">
        <x:f>ROUND(D52*E52,2)</x:f>
        <x:v>999.6</x:v>
      </x:c>
      <x:c r="G52" s="9" t="n">
        <x:v>29.99</x:v>
      </x:c>
      <x:c r="H52" s="9">
        <x:f>ROUND(F52-G52,2)</x:f>
        <x:v>969.61</x:v>
      </x:c>
      <x:c r="I52" s="3" t="inlineStr">
        <x:is>
          <x:t xml:space="preserve">Larissa Torres</x:t>
        </x:is>
      </x:c>
      <x:c r="J52" s="3" t="inlineStr">
        <x:is>
          <x:t xml:space="preserve">Amanda Lopes</x:t>
        </x:is>
      </x:c>
      <x:c r="K52" s="3" t="str">
        <x:f>IF(B52="Plano Básico","Consulta e internação",IF(B52="Plano Médio","Consulta, emergência e internação","Consulta, emergência, internação e odontologia"))</x:f>
        <x:v>Consulta, emergência e internação</x:v>
      </x:c>
    </x:row>
    <x:row r="53">
      <x:c r="A53" s="8" t="n">
        <x:v>45472</x:v>
      </x:c>
      <x:c r="B53" s="3" t="inlineStr">
        <x:is>
          <x:t xml:space="preserve">Plano Médio</x:t>
        </x:is>
      </x:c>
      <x:c r="C53" s="3" t="inlineStr">
        <x:is>
          <x:t xml:space="preserve">Paraná</x:t>
        </x:is>
      </x:c>
      <x:c r="D53" s="9" t="n">
        <x:v>249.9</x:v>
      </x:c>
      <x:c r="E53" s="5" t="n">
        <x:v>3</x:v>
      </x:c>
      <x:c r="F53" s="9">
        <x:f>ROUND(D53*E53,2)</x:f>
        <x:v>749.7</x:v>
      </x:c>
      <x:c r="G53" s="9" t="n">
        <x:v>74.97</x:v>
      </x:c>
      <x:c r="H53" s="9">
        <x:f>ROUND(F53-G53,2)</x:f>
        <x:v>674.73</x:v>
      </x:c>
      <x:c r="I53" s="3" t="inlineStr">
        <x:is>
          <x:t xml:space="preserve">Leonardo Oliveira</x:t>
        </x:is>
      </x:c>
      <x:c r="J53" s="3" t="inlineStr">
        <x:is>
          <x:t xml:space="preserve">Patrícia Silva</x:t>
        </x:is>
      </x:c>
      <x:c r="K53" s="3" t="str">
        <x:f>IF(B53="Plano Básico","Consulta e internação",IF(B53="Plano Médio","Consulta, emergência e internação","Consulta, emergência, internação e odontologia"))</x:f>
        <x:v>Consulta, emergência e internação</x:v>
      </x:c>
    </x:row>
    <x:row r="54">
      <x:c r="A54" s="8" t="n">
        <x:v>45474</x:v>
      </x:c>
      <x:c r="B54" s="3" t="inlineStr">
        <x:is>
          <x:t xml:space="preserve">Plano Master</x:t>
        </x:is>
      </x:c>
      <x:c r="C54" s="3" t="inlineStr">
        <x:is>
          <x:t xml:space="preserve">Minas Gerais</x:t>
        </x:is>
      </x:c>
      <x:c r="D54" s="9" t="n">
        <x:v>399.9</x:v>
      </x:c>
      <x:c r="E54" s="5" t="n">
        <x:v>2</x:v>
      </x:c>
      <x:c r="F54" s="9">
        <x:f>ROUND(D54*E54,2)</x:f>
        <x:v>799.8</x:v>
      </x:c>
      <x:c r="G54" s="9" t="n">
        <x:v>0</x:v>
      </x:c>
      <x:c r="H54" s="9">
        <x:f>ROUND(F54-G54,2)</x:f>
        <x:v>799.8</x:v>
      </x:c>
      <x:c r="I54" s="3" t="inlineStr">
        <x:is>
          <x:t xml:space="preserve">Debora Sampaio</x:t>
        </x:is>
      </x:c>
      <x:c r="J54" s="3" t="inlineStr">
        <x:is>
          <x:t xml:space="preserve">Guilherme Araújo</x:t>
        </x:is>
      </x:c>
      <x:c r="K54" s="3" t="str">
        <x:f>IF(B54="Plano Básico","Consulta e internação",IF(B54="Plano Médio","Consulta, emergência e internação","Consulta, emergência, internação e odontologia"))</x:f>
        <x:v>Consulta, emergência, internação e odontologia</x:v>
      </x:c>
    </x:row>
    <x:row r="55">
      <x:c r="A55" s="8" t="n">
        <x:v>45475</x:v>
      </x:c>
      <x:c r="B55" s="3" t="inlineStr">
        <x:is>
          <x:t xml:space="preserve">Plano Master</x:t>
        </x:is>
      </x:c>
      <x:c r="C55" s="3" t="inlineStr">
        <x:is>
          <x:t xml:space="preserve">Ceará</x:t>
        </x:is>
      </x:c>
      <x:c r="D55" s="9" t="n">
        <x:v>399.9</x:v>
      </x:c>
      <x:c r="E55" s="5" t="n">
        <x:v>3</x:v>
      </x:c>
      <x:c r="F55" s="9">
        <x:f>ROUND(D55*E55,2)</x:f>
        <x:v>1199.7</x:v>
      </x:c>
      <x:c r="G55" s="9" t="n">
        <x:v>0</x:v>
      </x:c>
      <x:c r="H55" s="9">
        <x:f>ROUND(F55-G55,2)</x:f>
        <x:v>1199.7</x:v>
      </x:c>
      <x:c r="I55" s="3" t="inlineStr">
        <x:is>
          <x:t xml:space="preserve">Thiago Cardoso</x:t>
        </x:is>
      </x:c>
      <x:c r="J55" s="3" t="inlineStr">
        <x:is>
          <x:t xml:space="preserve">Marcos Vinícius</x:t>
        </x:is>
      </x:c>
      <x:c r="K55" s="3" t="str">
        <x:f>IF(B55="Plano Básico","Consulta e internação",IF(B55="Plano Médio","Consulta, emergência e internação","Consulta, emergência, internação e odontologia"))</x:f>
        <x:v>Consulta, emergência, internação e odontologia</x:v>
      </x:c>
    </x:row>
    <x:row r="56">
      <x:c r="A56" s="8" t="n">
        <x:v>45477</x:v>
      </x:c>
      <x:c r="B56" s="3" t="inlineStr">
        <x:is>
          <x:t xml:space="preserve">Plano Médio</x:t>
        </x:is>
      </x:c>
      <x:c r="C56" s="3" t="inlineStr">
        <x:is>
          <x:t xml:space="preserve">Rio de Janeiro</x:t>
        </x:is>
      </x:c>
      <x:c r="D56" s="9" t="n">
        <x:v>249.9</x:v>
      </x:c>
      <x:c r="E56" s="5" t="n">
        <x:v>1</x:v>
      </x:c>
      <x:c r="F56" s="9">
        <x:f>ROUND(D56*E56,2)</x:f>
        <x:v>249.9</x:v>
      </x:c>
      <x:c r="G56" s="9" t="n">
        <x:v>0</x:v>
      </x:c>
      <x:c r="H56" s="9">
        <x:f>ROUND(F56-G56,2)</x:f>
        <x:v>249.9</x:v>
      </x:c>
      <x:c r="I56" s="3" t="inlineStr">
        <x:is>
          <x:t xml:space="preserve">Patrícia Neves</x:t>
        </x:is>
      </x:c>
      <x:c r="J56" s="3" t="inlineStr">
        <x:is>
          <x:t xml:space="preserve">Juliana Martins</x:t>
        </x:is>
      </x:c>
      <x:c r="K56" s="3" t="str">
        <x:f>IF(B56="Plano Básico","Consulta e internação",IF(B56="Plano Médio","Consulta, emergência e internação","Consulta, emergência, internação e odontologia"))</x:f>
        <x:v>Consulta, emergência e internação</x:v>
      </x:c>
    </x:row>
    <x:row r="57">
      <x:c r="A57" s="8" t="n">
        <x:v>45480</x:v>
      </x:c>
      <x:c r="B57" s="3" t="inlineStr">
        <x:is>
          <x:t xml:space="preserve">Plano Básico</x:t>
        </x:is>
      </x:c>
      <x:c r="C57" s="3" t="inlineStr">
        <x:is>
          <x:t xml:space="preserve">Bahia</x:t>
        </x:is>
      </x:c>
      <x:c r="D57" s="9" t="n">
        <x:v>149.9</x:v>
      </x:c>
      <x:c r="E57" s="5" t="n">
        <x:v>2</x:v>
      </x:c>
      <x:c r="F57" s="9">
        <x:f>ROUND(D57*E57,2)</x:f>
        <x:v>299.8</x:v>
      </x:c>
      <x:c r="G57" s="9" t="n">
        <x:v>29.98</x:v>
      </x:c>
      <x:c r="H57" s="9">
        <x:f>ROUND(F57-G57,2)</x:f>
        <x:v>269.82</x:v>
      </x:c>
      <x:c r="I57" s="3" t="inlineStr">
        <x:is>
          <x:t xml:space="preserve">Priscila Matos</x:t>
        </x:is>
      </x:c>
      <x:c r="J57" s="3" t="inlineStr">
        <x:is>
          <x:t xml:space="preserve">Beatriz Gonçalves</x:t>
        </x:is>
      </x:c>
      <x:c r="K57" s="3" t="str">
        <x:f>IF(B57="Plano Básico","Consulta e internação",IF(B57="Plano Médio","Consulta, emergência e internação","Consulta, emergência, internação e odontologia"))</x:f>
        <x:v>Consulta e internação</x:v>
      </x:c>
    </x:row>
    <x:row r="58">
      <x:c r="A58" s="8" t="n">
        <x:v>45487</x:v>
      </x:c>
      <x:c r="B58" s="3" t="inlineStr">
        <x:is>
          <x:t xml:space="preserve">Plano Master</x:t>
        </x:is>
      </x:c>
      <x:c r="C58" s="3" t="inlineStr">
        <x:is>
          <x:t xml:space="preserve">Ceará</x:t>
        </x:is>
      </x:c>
      <x:c r="D58" s="9" t="n">
        <x:v>399.9</x:v>
      </x:c>
      <x:c r="E58" s="5" t="n">
        <x:v>1</x:v>
      </x:c>
      <x:c r="F58" s="9">
        <x:f>ROUND(D58*E58,2)</x:f>
        <x:v>399.9</x:v>
      </x:c>
      <x:c r="G58" s="9" t="n">
        <x:v>0</x:v>
      </x:c>
      <x:c r="H58" s="9">
        <x:f>ROUND(F58-G58,2)</x:f>
        <x:v>399.9</x:v>
      </x:c>
      <x:c r="I58" s="3" t="inlineStr">
        <x:is>
          <x:t xml:space="preserve">Diego Amaral</x:t>
        </x:is>
      </x:c>
      <x:c r="J58" s="3" t="inlineStr">
        <x:is>
          <x:t xml:space="preserve">Guilherme Araújo</x:t>
        </x:is>
      </x:c>
      <x:c r="K58" s="3" t="str">
        <x:f>IF(B58="Plano Básico","Consulta e internação",IF(B58="Plano Médio","Consulta, emergência e internação","Consulta, emergência, internação e odontologia"))</x:f>
        <x:v>Consulta, emergência, internação e odontologia</x:v>
      </x:c>
    </x:row>
    <x:row r="59">
      <x:c r="A59" s="8" t="n">
        <x:v>45487</x:v>
      </x:c>
      <x:c r="B59" s="3" t="inlineStr">
        <x:is>
          <x:t xml:space="preserve">Plano Básico</x:t>
        </x:is>
      </x:c>
      <x:c r="C59" s="3" t="inlineStr">
        <x:is>
          <x:t xml:space="preserve">Ceará</x:t>
        </x:is>
      </x:c>
      <x:c r="D59" s="9" t="n">
        <x:v>149.9</x:v>
      </x:c>
      <x:c r="E59" s="5" t="n">
        <x:v>4</x:v>
      </x:c>
      <x:c r="F59" s="9">
        <x:f>ROUND(D59*E59,2)</x:f>
        <x:v>599.6</x:v>
      </x:c>
      <x:c r="G59" s="9" t="n">
        <x:v>17.99</x:v>
      </x:c>
      <x:c r="H59" s="9">
        <x:f>ROUND(F59-G59,2)</x:f>
        <x:v>581.61</x:v>
      </x:c>
      <x:c r="I59" s="3" t="inlineStr">
        <x:is>
          <x:t xml:space="preserve">Erica Fernandes</x:t>
        </x:is>
      </x:c>
      <x:c r="J59" s="3" t="inlineStr">
        <x:is>
          <x:t xml:space="preserve">Carlos Lima</x:t>
        </x:is>
      </x:c>
      <x:c r="K59" s="3" t="str">
        <x:f>IF(B59="Plano Básico","Consulta e internação",IF(B59="Plano Médio","Consulta, emergência e internação","Consulta, emergência, internação e odontologia"))</x:f>
        <x:v>Consulta e internação</x:v>
      </x:c>
    </x:row>
    <x:row r="60">
      <x:c r="A60" s="8" t="n">
        <x:v>45495</x:v>
      </x:c>
      <x:c r="B60" s="3" t="inlineStr">
        <x:is>
          <x:t xml:space="preserve">Plano Médio</x:t>
        </x:is>
      </x:c>
      <x:c r="C60" s="3" t="inlineStr">
        <x:is>
          <x:t xml:space="preserve">Goiás</x:t>
        </x:is>
      </x:c>
      <x:c r="D60" s="9" t="n">
        <x:v>249.9</x:v>
      </x:c>
      <x:c r="E60" s="5" t="n">
        <x:v>2</x:v>
      </x:c>
      <x:c r="F60" s="9">
        <x:f>ROUND(D60*E60,2)</x:f>
        <x:v>499.8</x:v>
      </x:c>
      <x:c r="G60" s="9" t="n">
        <x:v>0</x:v>
      </x:c>
      <x:c r="H60" s="9">
        <x:f>ROUND(F60-G60,2)</x:f>
        <x:v>499.8</x:v>
      </x:c>
      <x:c r="I60" s="3" t="inlineStr">
        <x:is>
          <x:t xml:space="preserve">Olivia Mendes</x:t>
        </x:is>
      </x:c>
      <x:c r="J60" s="3" t="inlineStr">
        <x:is>
          <x:t xml:space="preserve">Carlos Lima</x:t>
        </x:is>
      </x:c>
      <x:c r="K60" s="3" t="str">
        <x:f>IF(B60="Plano Básico","Consulta e internação",IF(B60="Plano Médio","Consulta, emergência e internação","Consulta, emergência, internação e odontologia"))</x:f>
        <x:v>Consulta, emergência e internação</x:v>
      </x:c>
    </x:row>
    <x:row r="61">
      <x:c r="A61" s="8" t="n">
        <x:v>45497</x:v>
      </x:c>
      <x:c r="B61" s="3" t="inlineStr">
        <x:is>
          <x:t xml:space="preserve">Plano Master</x:t>
        </x:is>
      </x:c>
      <x:c r="C61" s="3" t="inlineStr">
        <x:is>
          <x:t xml:space="preserve">Bahia</x:t>
        </x:is>
      </x:c>
      <x:c r="D61" s="9" t="n">
        <x:v>399.9</x:v>
      </x:c>
      <x:c r="E61" s="5" t="n">
        <x:v>1</x:v>
      </x:c>
      <x:c r="F61" s="9">
        <x:f>ROUND(D61*E61,2)</x:f>
        <x:v>399.9</x:v>
      </x:c>
      <x:c r="G61" s="9" t="n">
        <x:v>0</x:v>
      </x:c>
      <x:c r="H61" s="9">
        <x:f>ROUND(F61-G61,2)</x:f>
        <x:v>399.9</x:v>
      </x:c>
      <x:c r="I61" s="3" t="inlineStr">
        <x:is>
          <x:t xml:space="preserve">Isabela Gomes</x:t>
        </x:is>
      </x:c>
      <x:c r="J61" s="3" t="inlineStr">
        <x:is>
          <x:t xml:space="preserve">Larissa Rocha</x:t>
        </x:is>
      </x:c>
      <x:c r="K61" s="3" t="str">
        <x:f>IF(B61="Plano Básico","Consulta e internação",IF(B61="Plano Médio","Consulta, emergência e internação","Consulta, emergência, internação e odontologia"))</x:f>
        <x:v>Consulta, emergência, internação e odontologia</x:v>
      </x:c>
    </x:row>
    <x:row r="62">
      <x:c r="A62" s="8" t="n">
        <x:v>45508</x:v>
      </x:c>
      <x:c r="B62" s="3" t="inlineStr">
        <x:is>
          <x:t xml:space="preserve">Plano Básico</x:t>
        </x:is>
      </x:c>
      <x:c r="C62" s="3" t="inlineStr">
        <x:is>
          <x:t xml:space="preserve">Distrito Federal</x:t>
        </x:is>
      </x:c>
      <x:c r="D62" s="9" t="n">
        <x:v>149.9</x:v>
      </x:c>
      <x:c r="E62" s="5" t="n">
        <x:v>2</x:v>
      </x:c>
      <x:c r="F62" s="9">
        <x:f>ROUND(D62*E62,2)</x:f>
        <x:v>299.8</x:v>
      </x:c>
      <x:c r="G62" s="9" t="n">
        <x:v>14.99</x:v>
      </x:c>
      <x:c r="H62" s="9">
        <x:f>ROUND(F62-G62,2)</x:f>
        <x:v>284.81</x:v>
      </x:c>
      <x:c r="I62" s="3" t="inlineStr">
        <x:is>
          <x:t xml:space="preserve">Elisa Pires</x:t>
        </x:is>
      </x:c>
      <x:c r="J62" s="3" t="inlineStr">
        <x:is>
          <x:t xml:space="preserve">Larissa Rocha</x:t>
        </x:is>
      </x:c>
      <x:c r="K62" s="3" t="str">
        <x:f>IF(B62="Plano Básico","Consulta e internação",IF(B62="Plano Médio","Consulta, emergência e internação","Consulta, emergência, internação e odontologia"))</x:f>
        <x:v>Consulta e internação</x:v>
      </x:c>
    </x:row>
    <x:row r="63">
      <x:c r="A63" s="8" t="n">
        <x:v>45509</x:v>
      </x:c>
      <x:c r="B63" s="3" t="inlineStr">
        <x:is>
          <x:t xml:space="preserve">Plano Médio</x:t>
        </x:is>
      </x:c>
      <x:c r="C63" s="3" t="inlineStr">
        <x:is>
          <x:t xml:space="preserve">Espírito Santo</x:t>
        </x:is>
      </x:c>
      <x:c r="D63" s="9" t="n">
        <x:v>249.9</x:v>
      </x:c>
      <x:c r="E63" s="5" t="n">
        <x:v>3</x:v>
      </x:c>
      <x:c r="F63" s="9">
        <x:f>ROUND(D63*E63,2)</x:f>
        <x:v>749.7</x:v>
      </x:c>
      <x:c r="G63" s="9" t="n">
        <x:v>0</x:v>
      </x:c>
      <x:c r="H63" s="9">
        <x:f>ROUND(F63-G63,2)</x:f>
        <x:v>749.7</x:v>
      </x:c>
      <x:c r="I63" s="3" t="inlineStr">
        <x:is>
          <x:t xml:space="preserve">Thiago Cardoso</x:t>
        </x:is>
      </x:c>
      <x:c r="J63" s="3" t="inlineStr">
        <x:is>
          <x:t xml:space="preserve">Juliana Martins</x:t>
        </x:is>
      </x:c>
      <x:c r="K63" s="3" t="str">
        <x:f>IF(B63="Plano Básico","Consulta e internação",IF(B63="Plano Médio","Consulta, emergência e internação","Consulta, emergência, internação e odontologia"))</x:f>
        <x:v>Consulta, emergência e internação</x:v>
      </x:c>
    </x:row>
    <x:row r="64">
      <x:c r="A64" s="8" t="n">
        <x:v>45509</x:v>
      </x:c>
      <x:c r="B64" s="3" t="inlineStr">
        <x:is>
          <x:t xml:space="preserve">Plano Básico</x:t>
        </x:is>
      </x:c>
      <x:c r="C64" s="3" t="inlineStr">
        <x:is>
          <x:t xml:space="preserve">Santa Catarina</x:t>
        </x:is>
      </x:c>
      <x:c r="D64" s="9" t="n">
        <x:v>149.9</x:v>
      </x:c>
      <x:c r="E64" s="5" t="n">
        <x:v>3</x:v>
      </x:c>
      <x:c r="F64" s="9">
        <x:f>ROUND(D64*E64,2)</x:f>
        <x:v>449.7</x:v>
      </x:c>
      <x:c r="G64" s="9" t="n">
        <x:v>22.48</x:v>
      </x:c>
      <x:c r="H64" s="9">
        <x:f>ROUND(F64-G64,2)</x:f>
        <x:v>427.22</x:v>
      </x:c>
      <x:c r="I64" s="3" t="inlineStr">
        <x:is>
          <x:t xml:space="preserve">Erica Fernandes</x:t>
        </x:is>
      </x:c>
      <x:c r="J64" s="3" t="inlineStr">
        <x:is>
          <x:t xml:space="preserve">Juliana Martins</x:t>
        </x:is>
      </x:c>
      <x:c r="K64" s="3" t="str">
        <x:f>IF(B64="Plano Básico","Consulta e internação",IF(B64="Plano Médio","Consulta, emergência e internação","Consulta, emergência, internação e odontologia"))</x:f>
        <x:v>Consulta e internação</x:v>
      </x:c>
    </x:row>
    <x:row r="65">
      <x:c r="A65" s="8" t="n">
        <x:v>45510</x:v>
      </x:c>
      <x:c r="B65" s="3" t="inlineStr">
        <x:is>
          <x:t xml:space="preserve">Plano Básico</x:t>
        </x:is>
      </x:c>
      <x:c r="C65" s="3" t="inlineStr">
        <x:is>
          <x:t xml:space="preserve">Santa Catarina</x:t>
        </x:is>
      </x:c>
      <x:c r="D65" s="9" t="n">
        <x:v>149.9</x:v>
      </x:c>
      <x:c r="E65" s="5" t="n">
        <x:v>2</x:v>
      </x:c>
      <x:c r="F65" s="9">
        <x:f>ROUND(D65*E65,2)</x:f>
        <x:v>299.8</x:v>
      </x:c>
      <x:c r="G65" s="9" t="n">
        <x:v>13.98</x:v>
      </x:c>
      <x:c r="H65" s="9">
        <x:f>ROUND(F65-G65,2)</x:f>
        <x:v>285.82</x:v>
      </x:c>
      <x:c r="I65" s="3" t="inlineStr">
        <x:is>
          <x:t xml:space="preserve">Rafael Moreira</x:t>
        </x:is>
      </x:c>
      <x:c r="J65" s="3" t="inlineStr">
        <x:is>
          <x:t xml:space="preserve">Patrícia Silva</x:t>
        </x:is>
      </x:c>
      <x:c r="K65" s="3" t="str">
        <x:f>IF(B65="Plano Básico","Consulta e internação",IF(B65="Plano Médio","Consulta, emergência e internação","Consulta, emergência, internação e odontologia"))</x:f>
        <x:v>Consulta e internação</x:v>
      </x:c>
    </x:row>
    <x:row r="66">
      <x:c r="A66" s="8" t="n">
        <x:v>45518</x:v>
      </x:c>
      <x:c r="B66" s="3" t="inlineStr">
        <x:is>
          <x:t xml:space="preserve">Plano Master</x:t>
        </x:is>
      </x:c>
      <x:c r="C66" s="3" t="inlineStr">
        <x:is>
          <x:t xml:space="preserve">Paraná</x:t>
        </x:is>
      </x:c>
      <x:c r="D66" s="9" t="n">
        <x:v>399.9</x:v>
      </x:c>
      <x:c r="E66" s="5" t="n">
        <x:v>3</x:v>
      </x:c>
      <x:c r="F66" s="9">
        <x:f>ROUND(D66*E66,2)</x:f>
        <x:v>1199.7</x:v>
      </x:c>
      <x:c r="G66" s="9" t="n">
        <x:v>0</x:v>
      </x:c>
      <x:c r="H66" s="9">
        <x:f>ROUND(F66-G66,2)</x:f>
        <x:v>1199.7</x:v>
      </x:c>
      <x:c r="I66" s="3" t="inlineStr">
        <x:is>
          <x:t xml:space="preserve">Diego Amaral</x:t>
        </x:is>
      </x:c>
      <x:c r="J66" s="3" t="inlineStr">
        <x:is>
          <x:t xml:space="preserve">Larissa Rocha</x:t>
        </x:is>
      </x:c>
      <x:c r="K66" s="3" t="str">
        <x:f>IF(B66="Plano Básico","Consulta e internação",IF(B66="Plano Médio","Consulta, emergência e internação","Consulta, emergência, internação e odontologia"))</x:f>
        <x:v>Consulta, emergência, internação e odontologia</x:v>
      </x:c>
    </x:row>
    <x:row r="67">
      <x:c r="A67" s="8" t="n">
        <x:v>45523</x:v>
      </x:c>
      <x:c r="B67" s="3" t="inlineStr">
        <x:is>
          <x:t xml:space="preserve">Plano Médio</x:t>
        </x:is>
      </x:c>
      <x:c r="C67" s="3" t="inlineStr">
        <x:is>
          <x:t xml:space="preserve">São Paulo</x:t>
        </x:is>
      </x:c>
      <x:c r="D67" s="9" t="n">
        <x:v>249.9</x:v>
      </x:c>
      <x:c r="E67" s="5" t="n">
        <x:v>1</x:v>
      </x:c>
      <x:c r="F67" s="9">
        <x:f>ROUND(D67*E67,2)</x:f>
        <x:v>249.9</x:v>
      </x:c>
      <x:c r="G67" s="9" t="n">
        <x:v>0</x:v>
      </x:c>
      <x:c r="H67" s="9">
        <x:f>ROUND(F67-G67,2)</x:f>
        <x:v>249.9</x:v>
      </x:c>
      <x:c r="I67" s="3" t="inlineStr">
        <x:is>
          <x:t xml:space="preserve">Camila Ribeiro</x:t>
        </x:is>
      </x:c>
      <x:c r="J67" s="3" t="inlineStr">
        <x:is>
          <x:t xml:space="preserve">Diego Nascimento</x:t>
        </x:is>
      </x:c>
      <x:c r="K67" s="3" t="str">
        <x:f>IF(B67="Plano Básico","Consulta e internação",IF(B67="Plano Médio","Consulta, emergência e internação","Consulta, emergência, internação e odontologia"))</x:f>
        <x:v>Consulta, emergência e internação</x:v>
      </x:c>
    </x:row>
    <x:row r="68">
      <x:c r="A68" s="8" t="n">
        <x:v>45526</x:v>
      </x:c>
      <x:c r="B68" s="3" t="inlineStr">
        <x:is>
          <x:t xml:space="preserve">Plano Básico</x:t>
        </x:is>
      </x:c>
      <x:c r="C68" s="3" t="inlineStr">
        <x:is>
          <x:t xml:space="preserve">Bahia</x:t>
        </x:is>
      </x:c>
      <x:c r="D68" s="9" t="n">
        <x:v>149.9</x:v>
      </x:c>
      <x:c r="E68" s="5" t="n">
        <x:v>2</x:v>
      </x:c>
      <x:c r="F68" s="9">
        <x:f>ROUND(D68*E68,2)</x:f>
        <x:v>299.8</x:v>
      </x:c>
      <x:c r="G68" s="9" t="n">
        <x:v>0</x:v>
      </x:c>
      <x:c r="H68" s="9">
        <x:f>ROUND(F68-G68,2)</x:f>
        <x:v>299.8</x:v>
      </x:c>
      <x:c r="I68" s="3" t="inlineStr">
        <x:is>
          <x:t xml:space="preserve">Priscila Matos</x:t>
        </x:is>
      </x:c>
      <x:c r="J68" s="3" t="inlineStr">
        <x:is>
          <x:t xml:space="preserve">Beatriz Gonçalves</x:t>
        </x:is>
      </x:c>
      <x:c r="K68" s="3" t="str">
        <x:f>IF(B68="Plano Básico","Consulta e internação",IF(B68="Plano Médio","Consulta, emergência e internação","Consulta, emergência, internação e odontologia"))</x:f>
        <x:v>Consulta e internação</x:v>
      </x:c>
    </x:row>
    <x:row r="69">
      <x:c r="A69" s="8" t="n">
        <x:v>45526</x:v>
      </x:c>
      <x:c r="B69" s="3" t="inlineStr">
        <x:is>
          <x:t xml:space="preserve">Plano Básico</x:t>
        </x:is>
      </x:c>
      <x:c r="C69" s="3" t="inlineStr">
        <x:is>
          <x:t xml:space="preserve">Ceará</x:t>
        </x:is>
      </x:c>
      <x:c r="D69" s="9" t="n">
        <x:v>149.9</x:v>
      </x:c>
      <x:c r="E69" s="5" t="n">
        <x:v>1</x:v>
      </x:c>
      <x:c r="F69" s="9">
        <x:f>ROUND(D69*E69,2)</x:f>
        <x:v>149.9</x:v>
      </x:c>
      <x:c r="G69" s="9" t="n">
        <x:v>0</x:v>
      </x:c>
      <x:c r="H69" s="9">
        <x:f>ROUND(F69-G69,2)</x:f>
        <x:v>149.9</x:v>
      </x:c>
      <x:c r="I69" s="3" t="inlineStr">
        <x:is>
          <x:t xml:space="preserve">Mariana Alves</x:t>
        </x:is>
      </x:c>
      <x:c r="J69" s="3" t="inlineStr">
        <x:is>
          <x:t xml:space="preserve">Juliana Martins</x:t>
        </x:is>
      </x:c>
      <x:c r="K69" s="3" t="str">
        <x:f>IF(B69="Plano Básico","Consulta e internação",IF(B69="Plano Médio","Consulta, emergência e internação","Consulta, emergência, internação e odontologia"))</x:f>
        <x:v>Consulta e internação</x:v>
      </x:c>
    </x:row>
    <x:row r="70">
      <x:c r="A70" s="8" t="n">
        <x:v>45529</x:v>
      </x:c>
      <x:c r="B70" s="3" t="inlineStr">
        <x:is>
          <x:t xml:space="preserve">Plano Básico</x:t>
        </x:is>
      </x:c>
      <x:c r="C70" s="3" t="inlineStr">
        <x:is>
          <x:t xml:space="preserve">Santa Catarina</x:t>
        </x:is>
      </x:c>
      <x:c r="D70" s="9" t="n">
        <x:v>149.9</x:v>
      </x:c>
      <x:c r="E70" s="5" t="n">
        <x:v>1</x:v>
      </x:c>
      <x:c r="F70" s="9">
        <x:f>ROUND(D70*E70,2)</x:f>
        <x:v>149.9</x:v>
      </x:c>
      <x:c r="G70" s="9" t="n">
        <x:v>0</x:v>
      </x:c>
      <x:c r="H70" s="9">
        <x:f>ROUND(F70-G70,2)</x:f>
        <x:v>149.9</x:v>
      </x:c>
      <x:c r="I70" s="3" t="inlineStr">
        <x:is>
          <x:t xml:space="preserve">Henrique Carvalho</x:t>
        </x:is>
      </x:c>
      <x:c r="J70" s="3" t="inlineStr">
        <x:is>
          <x:t xml:space="preserve">Marcos Vinícius</x:t>
        </x:is>
      </x:c>
      <x:c r="K70" s="3" t="str">
        <x:f>IF(B70="Plano Básico","Consulta e internação",IF(B70="Plano Médio","Consulta, emergência e internação","Consulta, emergência, internação e odontologia"))</x:f>
        <x:v>Consulta e internação</x:v>
      </x:c>
    </x:row>
    <x:row r="71">
      <x:c r="A71" s="8" t="n">
        <x:v>45532</x:v>
      </x:c>
      <x:c r="B71" s="3" t="inlineStr">
        <x:is>
          <x:t xml:space="preserve">Plano Médio</x:t>
        </x:is>
      </x:c>
      <x:c r="C71" s="3" t="inlineStr">
        <x:is>
          <x:t xml:space="preserve">Santa Catarina</x:t>
        </x:is>
      </x:c>
      <x:c r="D71" s="9" t="n">
        <x:v>249.9</x:v>
      </x:c>
      <x:c r="E71" s="5" t="n">
        <x:v>2</x:v>
      </x:c>
      <x:c r="F71" s="9">
        <x:f>ROUND(D71*E71,2)</x:f>
        <x:v>499.8</x:v>
      </x:c>
      <x:c r="G71" s="9" t="n">
        <x:v>0</x:v>
      </x:c>
      <x:c r="H71" s="9">
        <x:f>ROUND(F71-G71,2)</x:f>
        <x:v>499.8</x:v>
      </x:c>
      <x:c r="I71" s="3" t="inlineStr">
        <x:is>
          <x:t xml:space="preserve">Debora Sampaio</x:t>
        </x:is>
      </x:c>
      <x:c r="J71" s="3" t="inlineStr">
        <x:is>
          <x:t xml:space="preserve">Larissa Rocha</x:t>
        </x:is>
      </x:c>
      <x:c r="K71" s="3" t="str">
        <x:f>IF(B71="Plano Básico","Consulta e internação",IF(B71="Plano Médio","Consulta, emergência e internação","Consulta, emergência, internação e odontologia"))</x:f>
        <x:v>Consulta, emergência e internação</x:v>
      </x:c>
    </x:row>
    <x:row r="72">
      <x:c r="A72" s="8" t="n">
        <x:v>45532</x:v>
      </x:c>
      <x:c r="B72" s="3" t="inlineStr">
        <x:is>
          <x:t xml:space="preserve">Plano Básico</x:t>
        </x:is>
      </x:c>
      <x:c r="C72" s="3" t="inlineStr">
        <x:is>
          <x:t xml:space="preserve">Pernambuco</x:t>
        </x:is>
      </x:c>
      <x:c r="D72" s="9" t="n">
        <x:v>149.9</x:v>
      </x:c>
      <x:c r="E72" s="5" t="n">
        <x:v>3</x:v>
      </x:c>
      <x:c r="F72" s="9">
        <x:f>ROUND(D72*E72,2)</x:f>
        <x:v>449.7</x:v>
      </x:c>
      <x:c r="G72" s="9" t="n">
        <x:v>0</x:v>
      </x:c>
      <x:c r="H72" s="9">
        <x:f>ROUND(F72-G72,2)</x:f>
        <x:v>449.7</x:v>
      </x:c>
      <x:c r="I72" s="3" t="inlineStr">
        <x:is>
          <x:t xml:space="preserve">Rodrigo Sales</x:t>
        </x:is>
      </x:c>
      <x:c r="J72" s="3" t="inlineStr">
        <x:is>
          <x:t xml:space="preserve">Marcos Vinícius</x:t>
        </x:is>
      </x:c>
      <x:c r="K72" s="3" t="str">
        <x:f>IF(B72="Plano Básico","Consulta e internação",IF(B72="Plano Médio","Consulta, emergência e internação","Consulta, emergência, internação e odontologia"))</x:f>
        <x:v>Consulta e internação</x:v>
      </x:c>
    </x:row>
    <x:row r="73">
      <x:c r="A73" s="8" t="n">
        <x:v>45535</x:v>
      </x:c>
      <x:c r="B73" s="3" t="inlineStr">
        <x:is>
          <x:t xml:space="preserve">Plano Master</x:t>
        </x:is>
      </x:c>
      <x:c r="C73" s="3" t="inlineStr">
        <x:is>
          <x:t xml:space="preserve">Distrito Federal</x:t>
        </x:is>
      </x:c>
      <x:c r="D73" s="9" t="n">
        <x:v>399.9</x:v>
      </x:c>
      <x:c r="E73" s="5" t="n">
        <x:v>1</x:v>
      </x:c>
      <x:c r="F73" s="9">
        <x:f>ROUND(D73*E73,2)</x:f>
        <x:v>399.9</x:v>
      </x:c>
      <x:c r="G73" s="9" t="n">
        <x:v>31.99</x:v>
      </x:c>
      <x:c r="H73" s="9">
        <x:f>ROUND(F73-G73,2)</x:f>
        <x:v>367.91</x:v>
      </x:c>
      <x:c r="I73" s="3" t="inlineStr">
        <x:is>
          <x:t xml:space="preserve">Giovana Araújo</x:t>
        </x:is>
      </x:c>
      <x:c r="J73" s="3" t="inlineStr">
        <x:is>
          <x:t xml:space="preserve">Diego Nascimento</x:t>
        </x:is>
      </x:c>
      <x:c r="K73" s="3" t="str">
        <x:f>IF(B73="Plano Básico","Consulta e internação",IF(B73="Plano Médio","Consulta, emergência e internação","Consulta, emergência, internação e odontologia"))</x:f>
        <x:v>Consulta, emergência, internação e odontologia</x:v>
      </x:c>
    </x:row>
    <x:row r="74">
      <x:c r="A74" s="8" t="n">
        <x:v>45539</x:v>
      </x:c>
      <x:c r="B74" s="3" t="inlineStr">
        <x:is>
          <x:t xml:space="preserve">Plano Médio</x:t>
        </x:is>
      </x:c>
      <x:c r="C74" s="3" t="inlineStr">
        <x:is>
          <x:t xml:space="preserve">Bahia</x:t>
        </x:is>
      </x:c>
      <x:c r="D74" s="9" t="n">
        <x:v>249.9</x:v>
      </x:c>
      <x:c r="E74" s="5" t="n">
        <x:v>3</x:v>
      </x:c>
      <x:c r="F74" s="9">
        <x:f>ROUND(D74*E74,2)</x:f>
        <x:v>749.7</x:v>
      </x:c>
      <x:c r="G74" s="9" t="n">
        <x:v>0</x:v>
      </x:c>
      <x:c r="H74" s="9">
        <x:f>ROUND(F74-G74,2)</x:f>
        <x:v>749.7</x:v>
      </x:c>
      <x:c r="I74" s="3" t="inlineStr">
        <x:is>
          <x:t xml:space="preserve">Fábio Tavares</x:t>
        </x:is>
      </x:c>
      <x:c r="J74" s="3" t="inlineStr">
        <x:is>
          <x:t xml:space="preserve">Fernanda Souza</x:t>
        </x:is>
      </x:c>
      <x:c r="K74" s="3" t="str">
        <x:f>IF(B74="Plano Básico","Consulta e internação",IF(B74="Plano Médio","Consulta, emergência e internação","Consulta, emergência, internação e odontologia"))</x:f>
        <x:v>Consulta, emergência e internação</x:v>
      </x:c>
    </x:row>
    <x:row r="75">
      <x:c r="A75" s="8" t="n">
        <x:v>45542</x:v>
      </x:c>
      <x:c r="B75" s="3" t="inlineStr">
        <x:is>
          <x:t xml:space="preserve">Plano Master</x:t>
        </x:is>
      </x:c>
      <x:c r="C75" s="3" t="inlineStr">
        <x:is>
          <x:t xml:space="preserve">Rio Grande do Sul</x:t>
        </x:is>
      </x:c>
      <x:c r="D75" s="9" t="n">
        <x:v>399.9</x:v>
      </x:c>
      <x:c r="E75" s="5" t="n">
        <x:v>3</x:v>
      </x:c>
      <x:c r="F75" s="9">
        <x:f>ROUND(D75*E75,2)</x:f>
        <x:v>1199.7</x:v>
      </x:c>
      <x:c r="G75" s="9" t="n">
        <x:v>0</x:v>
      </x:c>
      <x:c r="H75" s="9">
        <x:f>ROUND(F75-G75,2)</x:f>
        <x:v>1199.7</x:v>
      </x:c>
      <x:c r="I75" s="3" t="inlineStr">
        <x:is>
          <x:t xml:space="preserve">Mariana Alves</x:t>
        </x:is>
      </x:c>
      <x:c r="J75" s="3" t="inlineStr">
        <x:is>
          <x:t xml:space="preserve">Patrícia Silva</x:t>
        </x:is>
      </x:c>
      <x:c r="K75" s="3" t="str">
        <x:f>IF(B75="Plano Básico","Consulta e internação",IF(B75="Plano Médio","Consulta, emergência e internação","Consulta, emergência, internação e odontologia"))</x:f>
        <x:v>Consulta, emergência, internação e odontologia</x:v>
      </x:c>
    </x:row>
    <x:row r="76">
      <x:c r="A76" s="8" t="n">
        <x:v>45546</x:v>
      </x:c>
      <x:c r="B76" s="3" t="inlineStr">
        <x:is>
          <x:t xml:space="preserve">Plano Médio</x:t>
        </x:is>
      </x:c>
      <x:c r="C76" s="3" t="inlineStr">
        <x:is>
          <x:t xml:space="preserve">Ceará</x:t>
        </x:is>
      </x:c>
      <x:c r="D76" s="9" t="n">
        <x:v>249.9</x:v>
      </x:c>
      <x:c r="E76" s="5" t="n">
        <x:v>2</x:v>
      </x:c>
      <x:c r="F76" s="9">
        <x:f>ROUND(D76*E76,2)</x:f>
        <x:v>499.8</x:v>
      </x:c>
      <x:c r="G76" s="9" t="n">
        <x:v>49.98</x:v>
      </x:c>
      <x:c r="H76" s="9">
        <x:f>ROUND(F76-G76,2)</x:f>
        <x:v>449.82</x:v>
      </x:c>
      <x:c r="I76" s="3" t="inlineStr">
        <x:is>
          <x:t xml:space="preserve">Paulo Henrique Dias</x:t>
        </x:is>
      </x:c>
      <x:c r="J76" s="3" t="inlineStr">
        <x:is>
          <x:t xml:space="preserve">Fernanda Souza</x:t>
        </x:is>
      </x:c>
      <x:c r="K76" s="3" t="str">
        <x:f>IF(B76="Plano Básico","Consulta e internação",IF(B76="Plano Médio","Consulta, emergência e internação","Consulta, emergência, internação e odontologia"))</x:f>
        <x:v>Consulta, emergência e internação</x:v>
      </x:c>
    </x:row>
    <x:row r="77">
      <x:c r="A77" s="8" t="n">
        <x:v>45556</x:v>
      </x:c>
      <x:c r="B77" s="3" t="inlineStr">
        <x:is>
          <x:t xml:space="preserve">Plano Master</x:t>
        </x:is>
      </x:c>
      <x:c r="C77" s="3" t="inlineStr">
        <x:is>
          <x:t xml:space="preserve">Espírito Santo</x:t>
        </x:is>
      </x:c>
      <x:c r="D77" s="9" t="n">
        <x:v>399.9</x:v>
      </x:c>
      <x:c r="E77" s="5" t="n">
        <x:v>3</x:v>
      </x:c>
      <x:c r="F77" s="9">
        <x:f>ROUND(D77*E77,2)</x:f>
        <x:v>1199.7</x:v>
      </x:c>
      <x:c r="G77" s="9" t="n">
        <x:v>35.99</x:v>
      </x:c>
      <x:c r="H77" s="9">
        <x:f>ROUND(F77-G77,2)</x:f>
        <x:v>1163.71</x:v>
      </x:c>
      <x:c r="I77" s="3" t="inlineStr">
        <x:is>
          <x:t xml:space="preserve">Priscila Matos</x:t>
        </x:is>
      </x:c>
      <x:c r="J77" s="3" t="inlineStr">
        <x:is>
          <x:t xml:space="preserve">Guilherme Araújo</x:t>
        </x:is>
      </x:c>
      <x:c r="K77" s="3" t="str">
        <x:f>IF(B77="Plano Básico","Consulta e internação",IF(B77="Plano Médio","Consulta, emergência e internação","Consulta, emergência, internação e odontologia"))</x:f>
        <x:v>Consulta, emergência, internação e odontologia</x:v>
      </x:c>
    </x:row>
    <x:row r="78">
      <x:c r="A78" s="8" t="n">
        <x:v>45561</x:v>
      </x:c>
      <x:c r="B78" s="3" t="inlineStr">
        <x:is>
          <x:t xml:space="preserve">Plano Médio</x:t>
        </x:is>
      </x:c>
      <x:c r="C78" s="3" t="inlineStr">
        <x:is>
          <x:t xml:space="preserve">Goiás</x:t>
        </x:is>
      </x:c>
      <x:c r="D78" s="9" t="n">
        <x:v>249.9</x:v>
      </x:c>
      <x:c r="E78" s="5" t="n">
        <x:v>1</x:v>
      </x:c>
      <x:c r="F78" s="9">
        <x:f>ROUND(D78*E78,2)</x:f>
        <x:v>249.9</x:v>
      </x:c>
      <x:c r="G78" s="9" t="n">
        <x:v>24.99</x:v>
      </x:c>
      <x:c r="H78" s="9">
        <x:f>ROUND(F78-G78,2)</x:f>
        <x:v>224.91</x:v>
      </x:c>
      <x:c r="I78" s="3" t="inlineStr">
        <x:is>
          <x:t xml:space="preserve">Aline Queiroz</x:t>
        </x:is>
      </x:c>
      <x:c r="J78" s="3" t="inlineStr">
        <x:is>
          <x:t xml:space="preserve">Juliana Martins</x:t>
        </x:is>
      </x:c>
      <x:c r="K78" s="3" t="str">
        <x:f>IF(B78="Plano Básico","Consulta e internação",IF(B78="Plano Médio","Consulta, emergência e internação","Consulta, emergência, internação e odontologia"))</x:f>
        <x:v>Consulta, emergência e internação</x:v>
      </x:c>
    </x:row>
    <x:row r="79">
      <x:c r="A79" s="8" t="n">
        <x:v>45564</x:v>
      </x:c>
      <x:c r="B79" s="3" t="inlineStr">
        <x:is>
          <x:t xml:space="preserve">Plano Básico</x:t>
        </x:is>
      </x:c>
      <x:c r="C79" s="3" t="inlineStr">
        <x:is>
          <x:t xml:space="preserve">Pernambuco</x:t>
        </x:is>
      </x:c>
      <x:c r="D79" s="9" t="n">
        <x:v>149.9</x:v>
      </x:c>
      <x:c r="E79" s="5" t="n">
        <x:v>1</x:v>
      </x:c>
      <x:c r="F79" s="9">
        <x:f>ROUND(D79*E79,2)</x:f>
        <x:v>149.9</x:v>
      </x:c>
      <x:c r="G79" s="9" t="n">
        <x:v>0</x:v>
      </x:c>
      <x:c r="H79" s="9">
        <x:f>ROUND(F79-G79,2)</x:f>
        <x:v>149.9</x:v>
      </x:c>
      <x:c r="I79" s="3" t="inlineStr">
        <x:is>
          <x:t xml:space="preserve">Diego Amaral</x:t>
        </x:is>
      </x:c>
      <x:c r="J79" s="3" t="inlineStr">
        <x:is>
          <x:t xml:space="preserve">Guilherme Araújo</x:t>
        </x:is>
      </x:c>
      <x:c r="K79" s="3" t="str">
        <x:f>IF(B79="Plano Básico","Consulta e internação",IF(B79="Plano Médio","Consulta, emergência e internação","Consulta, emergência, internação e odontologia"))</x:f>
        <x:v>Consulta e internação</x:v>
      </x:c>
    </x:row>
    <x:row r="80">
      <x:c r="A80" s="8" t="n">
        <x:v>45564</x:v>
      </x:c>
      <x:c r="B80" s="3" t="inlineStr">
        <x:is>
          <x:t xml:space="preserve">Plano Médio</x:t>
        </x:is>
      </x:c>
      <x:c r="C80" s="3" t="inlineStr">
        <x:is>
          <x:t xml:space="preserve">Ceará</x:t>
        </x:is>
      </x:c>
      <x:c r="D80" s="9" t="n">
        <x:v>249.9</x:v>
      </x:c>
      <x:c r="E80" s="5" t="n">
        <x:v>2</x:v>
      </x:c>
      <x:c r="F80" s="9">
        <x:f>ROUND(D80*E80,2)</x:f>
        <x:v>499.8</x:v>
      </x:c>
      <x:c r="G80" s="9" t="n">
        <x:v>39.98</x:v>
      </x:c>
      <x:c r="H80" s="9">
        <x:f>ROUND(F80-G80,2)</x:f>
        <x:v>459.82</x:v>
      </x:c>
      <x:c r="I80" s="3" t="inlineStr">
        <x:is>
          <x:t xml:space="preserve">Felipe Rocha</x:t>
        </x:is>
      </x:c>
      <x:c r="J80" s="3" t="inlineStr">
        <x:is>
          <x:t xml:space="preserve">Guilherme Araújo</x:t>
        </x:is>
      </x:c>
      <x:c r="K80" s="3" t="str">
        <x:f>IF(B80="Plano Básico","Consulta e internação",IF(B80="Plano Médio","Consulta, emergência e internação","Consulta, emergência, internação e odontologia"))</x:f>
        <x:v>Consulta, emergência e internação</x:v>
      </x:c>
    </x:row>
    <x:row r="81">
      <x:c r="A81" s="8" t="n">
        <x:v>45571</x:v>
      </x:c>
      <x:c r="B81" s="3" t="inlineStr">
        <x:is>
          <x:t xml:space="preserve">Plano Médio</x:t>
        </x:is>
      </x:c>
      <x:c r="C81" s="3" t="inlineStr">
        <x:is>
          <x:t xml:space="preserve">Distrito Federal</x:t>
        </x:is>
      </x:c>
      <x:c r="D81" s="9" t="n">
        <x:v>249.9</x:v>
      </x:c>
      <x:c r="E81" s="5" t="n">
        <x:v>3</x:v>
      </x:c>
      <x:c r="F81" s="9">
        <x:f>ROUND(D81*E81,2)</x:f>
        <x:v>749.7</x:v>
      </x:c>
      <x:c r="G81" s="9" t="n">
        <x:v>74.97</x:v>
      </x:c>
      <x:c r="H81" s="9">
        <x:f>ROUND(F81-G81,2)</x:f>
        <x:v>674.73</x:v>
      </x:c>
      <x:c r="I81" s="3" t="inlineStr">
        <x:is>
          <x:t xml:space="preserve">Felipe Rocha</x:t>
        </x:is>
      </x:c>
      <x:c r="J81" s="3" t="inlineStr">
        <x:is>
          <x:t xml:space="preserve">Patrícia Silva</x:t>
        </x:is>
      </x:c>
      <x:c r="K81" s="3" t="str">
        <x:f>IF(B81="Plano Básico","Consulta e internação",IF(B81="Plano Médio","Consulta, emergência e internação","Consulta, emergência, internação e odontologia"))</x:f>
        <x:v>Consulta, emergência e internação</x:v>
      </x:c>
    </x:row>
    <x:row r="82">
      <x:c r="A82" s="8" t="n">
        <x:v>45575</x:v>
      </x:c>
      <x:c r="B82" s="3" t="inlineStr">
        <x:is>
          <x:t xml:space="preserve">Plano Médio</x:t>
        </x:is>
      </x:c>
      <x:c r="C82" s="3" t="inlineStr">
        <x:is>
          <x:t xml:space="preserve">Goiás</x:t>
        </x:is>
      </x:c>
      <x:c r="D82" s="9" t="n">
        <x:v>249.9</x:v>
      </x:c>
      <x:c r="E82" s="5" t="n">
        <x:v>3</x:v>
      </x:c>
      <x:c r="F82" s="9">
        <x:f>ROUND(D82*E82,2)</x:f>
        <x:v>749.7</x:v>
      </x:c>
      <x:c r="G82" s="9" t="n">
        <x:v>0</x:v>
      </x:c>
      <x:c r="H82" s="9">
        <x:f>ROUND(F82-G82,2)</x:f>
        <x:v>749.7</x:v>
      </x:c>
      <x:c r="I82" s="3" t="inlineStr">
        <x:is>
          <x:t xml:space="preserve">Mariana Alves</x:t>
        </x:is>
      </x:c>
      <x:c r="J82" s="3" t="inlineStr">
        <x:is>
          <x:t xml:space="preserve">Beatriz Gonçalves</x:t>
        </x:is>
      </x:c>
      <x:c r="K82" s="3" t="str">
        <x:f>IF(B82="Plano Básico","Consulta e internação",IF(B82="Plano Médio","Consulta, emergência e internação","Consulta, emergência, internação e odontologia"))</x:f>
        <x:v>Consulta, emergência e internação</x:v>
      </x:c>
    </x:row>
    <x:row r="83">
      <x:c r="A83" s="8" t="n">
        <x:v>45585</x:v>
      </x:c>
      <x:c r="B83" s="3" t="inlineStr">
        <x:is>
          <x:t xml:space="preserve">Plano Médio</x:t>
        </x:is>
      </x:c>
      <x:c r="C83" s="3" t="inlineStr">
        <x:is>
          <x:t xml:space="preserve">Santa Catarina</x:t>
        </x:is>
      </x:c>
      <x:c r="D83" s="9" t="n">
        <x:v>249.9</x:v>
      </x:c>
      <x:c r="E83" s="5" t="n">
        <x:v>1</x:v>
      </x:c>
      <x:c r="F83" s="9">
        <x:f>ROUND(D83*E83,2)</x:f>
        <x:v>249.9</x:v>
      </x:c>
      <x:c r="G83" s="9" t="n">
        <x:v>12.49</x:v>
      </x:c>
      <x:c r="H83" s="9">
        <x:f>ROUND(F83-G83,2)</x:f>
        <x:v>237.41</x:v>
      </x:c>
      <x:c r="I83" s="3" t="inlineStr">
        <x:is>
          <x:t xml:space="preserve">Ursula Farias</x:t>
        </x:is>
      </x:c>
      <x:c r="J83" s="3" t="inlineStr">
        <x:is>
          <x:t xml:space="preserve">Marcos Vinícius</x:t>
        </x:is>
      </x:c>
      <x:c r="K83" s="3" t="str">
        <x:f>IF(B83="Plano Básico","Consulta e internação",IF(B83="Plano Médio","Consulta, emergência e internação","Consulta, emergência, internação e odontologia"))</x:f>
        <x:v>Consulta, emergência e internação</x:v>
      </x:c>
    </x:row>
    <x:row r="84">
      <x:c r="A84" s="8" t="n">
        <x:v>45591</x:v>
      </x:c>
      <x:c r="B84" s="3" t="inlineStr">
        <x:is>
          <x:t xml:space="preserve">Plano Médio</x:t>
        </x:is>
      </x:c>
      <x:c r="C84" s="3" t="inlineStr">
        <x:is>
          <x:t xml:space="preserve">Rio Grande do Sul</x:t>
        </x:is>
      </x:c>
      <x:c r="D84" s="9" t="n">
        <x:v>249.9</x:v>
      </x:c>
      <x:c r="E84" s="5" t="n">
        <x:v>3</x:v>
      </x:c>
      <x:c r="F84" s="9">
        <x:f>ROUND(D84*E84,2)</x:f>
        <x:v>749.7</x:v>
      </x:c>
      <x:c r="G84" s="9" t="n">
        <x:v>22.49</x:v>
      </x:c>
      <x:c r="H84" s="9">
        <x:f>ROUND(F84-G84,2)</x:f>
        <x:v>727.21</x:v>
      </x:c>
      <x:c r="I84" s="3" t="inlineStr">
        <x:is>
          <x:t xml:space="preserve">Luciana Paiva</x:t>
        </x:is>
      </x:c>
      <x:c r="J84" s="3" t="inlineStr">
        <x:is>
          <x:t xml:space="preserve">Larissa Rocha</x:t>
        </x:is>
      </x:c>
      <x:c r="K84" s="3" t="str">
        <x:f>IF(B84="Plano Básico","Consulta e internação",IF(B84="Plano Médio","Consulta, emergência e internação","Consulta, emergência, internação e odontologia"))</x:f>
        <x:v>Consulta, emergência e internação</x:v>
      </x:c>
    </x:row>
    <x:row r="85">
      <x:c r="A85" s="8" t="n">
        <x:v>45602</x:v>
      </x:c>
      <x:c r="B85" s="3" t="inlineStr">
        <x:is>
          <x:t xml:space="preserve">Plano Médio</x:t>
        </x:is>
      </x:c>
      <x:c r="C85" s="3" t="inlineStr">
        <x:is>
          <x:t xml:space="preserve">Distrito Federal</x:t>
        </x:is>
      </x:c>
      <x:c r="D85" s="9" t="n">
        <x:v>249.9</x:v>
      </x:c>
      <x:c r="E85" s="5" t="n">
        <x:v>1</x:v>
      </x:c>
      <x:c r="F85" s="9">
        <x:f>ROUND(D85*E85,2)</x:f>
        <x:v>249.9</x:v>
      </x:c>
      <x:c r="G85" s="9" t="n">
        <x:v>19.99</x:v>
      </x:c>
      <x:c r="H85" s="9">
        <x:f>ROUND(F85-G85,2)</x:f>
        <x:v>229.91</x:v>
      </x:c>
      <x:c r="I85" s="3" t="inlineStr">
        <x:is>
          <x:t xml:space="preserve">Gabriela Lima</x:t>
        </x:is>
      </x:c>
      <x:c r="J85" s="3" t="inlineStr">
        <x:is>
          <x:t xml:space="preserve">Diego Nascimento</x:t>
        </x:is>
      </x:c>
      <x:c r="K85" s="3" t="str">
        <x:f>IF(B85="Plano Básico","Consulta e internação",IF(B85="Plano Médio","Consulta, emergência e internação","Consulta, emergência, internação e odontologia"))</x:f>
        <x:v>Consulta, emergência e internação</x:v>
      </x:c>
    </x:row>
    <x:row r="86">
      <x:c r="A86" s="8" t="n">
        <x:v>45602</x:v>
      </x:c>
      <x:c r="B86" s="3" t="inlineStr">
        <x:is>
          <x:t xml:space="preserve">Plano Master</x:t>
        </x:is>
      </x:c>
      <x:c r="C86" s="3" t="inlineStr">
        <x:is>
          <x:t xml:space="preserve">Minas Gerais</x:t>
        </x:is>
      </x:c>
      <x:c r="D86" s="9" t="n">
        <x:v>399.9</x:v>
      </x:c>
      <x:c r="E86" s="5" t="n">
        <x:v>2</x:v>
      </x:c>
      <x:c r="F86" s="9">
        <x:f>ROUND(D86*E86,2)</x:f>
        <x:v>799.8</x:v>
      </x:c>
      <x:c r="G86" s="9" t="n">
        <x:v>0</x:v>
      </x:c>
      <x:c r="H86" s="9">
        <x:f>ROUND(F86-G86,2)</x:f>
        <x:v>799.8</x:v>
      </x:c>
      <x:c r="I86" s="3" t="inlineStr">
        <x:is>
          <x:t xml:space="preserve">Camila Ribeiro</x:t>
        </x:is>
      </x:c>
      <x:c r="J86" s="3" t="inlineStr">
        <x:is>
          <x:t xml:space="preserve">Amanda Lopes</x:t>
        </x:is>
      </x:c>
      <x:c r="K86" s="3" t="str">
        <x:f>IF(B86="Plano Básico","Consulta e internação",IF(B86="Plano Médio","Consulta, emergência e internação","Consulta, emergência, internação e odontologia"))</x:f>
        <x:v>Consulta, emergência, internação e odontologia</x:v>
      </x:c>
    </x:row>
    <x:row r="87">
      <x:c r="A87" s="8" t="n">
        <x:v>45607</x:v>
      </x:c>
      <x:c r="B87" s="3" t="inlineStr">
        <x:is>
          <x:t xml:space="preserve">Plano Master</x:t>
        </x:is>
      </x:c>
      <x:c r="C87" s="3" t="inlineStr">
        <x:is>
          <x:t xml:space="preserve">Bahia</x:t>
        </x:is>
      </x:c>
      <x:c r="D87" s="9" t="n">
        <x:v>399.9</x:v>
      </x:c>
      <x:c r="E87" s="5" t="n">
        <x:v>1</x:v>
      </x:c>
      <x:c r="F87" s="9">
        <x:f>ROUND(D87*E87,2)</x:f>
        <x:v>399.9</x:v>
      </x:c>
      <x:c r="G87" s="9" t="n">
        <x:v>0</x:v>
      </x:c>
      <x:c r="H87" s="9">
        <x:f>ROUND(F87-G87,2)</x:f>
        <x:v>399.9</x:v>
      </x:c>
      <x:c r="I87" s="3" t="inlineStr">
        <x:is>
          <x:t xml:space="preserve">Rodrigo Sales</x:t>
        </x:is>
      </x:c>
      <x:c r="J87" s="3" t="inlineStr">
        <x:is>
          <x:t xml:space="preserve">Patrícia Silva</x:t>
        </x:is>
      </x:c>
      <x:c r="K87" s="3" t="str">
        <x:f>IF(B87="Plano Básico","Consulta e internação",IF(B87="Plano Médio","Consulta, emergência e internação","Consulta, emergência, internação e odontologia"))</x:f>
        <x:v>Consulta, emergência, internação e odontologia</x:v>
      </x:c>
    </x:row>
    <x:row r="88">
      <x:c r="A88" s="8" t="n">
        <x:v>45612</x:v>
      </x:c>
      <x:c r="B88" s="3" t="inlineStr">
        <x:is>
          <x:t xml:space="preserve">Plano Básico</x:t>
        </x:is>
      </x:c>
      <x:c r="C88" s="3" t="inlineStr">
        <x:is>
          <x:t xml:space="preserve">Rio Grande do Sul</x:t>
        </x:is>
      </x:c>
      <x:c r="D88" s="9" t="n">
        <x:v>149.9</x:v>
      </x:c>
      <x:c r="E88" s="5" t="n">
        <x:v>4</x:v>
      </x:c>
      <x:c r="F88" s="9">
        <x:f>ROUND(D88*E88,2)</x:f>
        <x:v>599.6</x:v>
      </x:c>
      <x:c r="G88" s="9" t="n">
        <x:v>47.97</x:v>
      </x:c>
      <x:c r="H88" s="9">
        <x:f>ROUND(F88-G88,2)</x:f>
        <x:v>551.63</x:v>
      </x:c>
      <x:c r="I88" s="3" t="inlineStr">
        <x:is>
          <x:t xml:space="preserve">Aline Queiroz</x:t>
        </x:is>
      </x:c>
      <x:c r="J88" s="3" t="inlineStr">
        <x:is>
          <x:t xml:space="preserve">Diego Nascimento</x:t>
        </x:is>
      </x:c>
      <x:c r="K88" s="3" t="str">
        <x:f>IF(B88="Plano Básico","Consulta e internação",IF(B88="Plano Médio","Consulta, emergência e internação","Consulta, emergência, internação e odontologia"))</x:f>
        <x:v>Consulta e internação</x:v>
      </x:c>
    </x:row>
    <x:row r="89">
      <x:c r="A89" s="8" t="n">
        <x:v>45614</x:v>
      </x:c>
      <x:c r="B89" s="3" t="inlineStr">
        <x:is>
          <x:t xml:space="preserve">Plano Médio</x:t>
        </x:is>
      </x:c>
      <x:c r="C89" s="3" t="inlineStr">
        <x:is>
          <x:t xml:space="preserve">Rio Grande do Sul</x:t>
        </x:is>
      </x:c>
      <x:c r="D89" s="9" t="n">
        <x:v>249.9</x:v>
      </x:c>
      <x:c r="E89" s="5" t="n">
        <x:v>2</x:v>
      </x:c>
      <x:c r="F89" s="9">
        <x:f>ROUND(D89*E89,2)</x:f>
        <x:v>499.8</x:v>
      </x:c>
      <x:c r="G89" s="9" t="n">
        <x:v>0</x:v>
      </x:c>
      <x:c r="H89" s="9">
        <x:f>ROUND(F89-G89,2)</x:f>
        <x:v>499.8</x:v>
      </x:c>
      <x:c r="I89" s="3" t="inlineStr">
        <x:is>
          <x:t xml:space="preserve">Tatiane Moura</x:t>
        </x:is>
      </x:c>
      <x:c r="J89" s="3" t="inlineStr">
        <x:is>
          <x:t xml:space="preserve">Patrícia Silva</x:t>
        </x:is>
      </x:c>
      <x:c r="K89" s="3" t="str">
        <x:f>IF(B89="Plano Básico","Consulta e internação",IF(B89="Plano Médio","Consulta, emergência e internação","Consulta, emergência, internação e odontologia"))</x:f>
        <x:v>Consulta, emergência e internação</x:v>
      </x:c>
    </x:row>
    <x:row r="90">
      <x:c r="A90" s="8" t="n">
        <x:v>45616</x:v>
      </x:c>
      <x:c r="B90" s="3" t="inlineStr">
        <x:is>
          <x:t xml:space="preserve">Plano Médio</x:t>
        </x:is>
      </x:c>
      <x:c r="C90" s="3" t="inlineStr">
        <x:is>
          <x:t xml:space="preserve">Ceará</x:t>
        </x:is>
      </x:c>
      <x:c r="D90" s="9" t="n">
        <x:v>249.9</x:v>
      </x:c>
      <x:c r="E90" s="5" t="n">
        <x:v>2</x:v>
      </x:c>
      <x:c r="F90" s="9">
        <x:f>ROUND(D90*E90,2)</x:f>
        <x:v>499.8</x:v>
      </x:c>
      <x:c r="G90" s="9" t="n">
        <x:v>0</x:v>
      </x:c>
      <x:c r="H90" s="9">
        <x:f>ROUND(F90-G90,2)</x:f>
        <x:v>499.8</x:v>
      </x:c>
      <x:c r="I90" s="3" t="inlineStr">
        <x:is>
          <x:t xml:space="preserve">Aline Queiroz</x:t>
        </x:is>
      </x:c>
      <x:c r="J90" s="3" t="inlineStr">
        <x:is>
          <x:t xml:space="preserve">Guilherme Araújo</x:t>
        </x:is>
      </x:c>
      <x:c r="K90" s="3" t="str">
        <x:f>IF(B90="Plano Básico","Consulta e internação",IF(B90="Plano Médio","Consulta, emergência e internação","Consulta, emergência, internação e odontologia"))</x:f>
        <x:v>Consulta, emergência e internação</x:v>
      </x:c>
    </x:row>
    <x:row r="91">
      <x:c r="A91" s="8" t="n">
        <x:v>45637</x:v>
      </x:c>
      <x:c r="B91" s="3" t="inlineStr">
        <x:is>
          <x:t xml:space="preserve">Plano Básico</x:t>
        </x:is>
      </x:c>
      <x:c r="C91" s="3" t="inlineStr">
        <x:is>
          <x:t xml:space="preserve">Distrito Federal</x:t>
        </x:is>
      </x:c>
      <x:c r="D91" s="9" t="n">
        <x:v>149.9</x:v>
      </x:c>
      <x:c r="E91" s="5" t="n">
        <x:v>2</x:v>
      </x:c>
      <x:c r="F91" s="9">
        <x:f>ROUND(D91*E91,2)</x:f>
        <x:v>299.8</x:v>
      </x:c>
      <x:c r="G91" s="9" t="n">
        <x:v>0</x:v>
      </x:c>
      <x:c r="H91" s="9">
        <x:f>ROUND(F91-G91,2)</x:f>
        <x:v>299.8</x:v>
      </x:c>
      <x:c r="I91" s="3" t="inlineStr">
        <x:is>
          <x:t xml:space="preserve">Vanessa Prado</x:t>
        </x:is>
      </x:c>
      <x:c r="J91" s="3" t="inlineStr">
        <x:is>
          <x:t xml:space="preserve">Carlos Lima</x:t>
        </x:is>
      </x:c>
      <x:c r="K91" s="3" t="str">
        <x:f>IF(B91="Plano Básico","Consulta e internação",IF(B91="Plano Médio","Consulta, emergência e internação","Consulta, emergência, internação e odontologia"))</x:f>
        <x:v>Consulta e internação</x:v>
      </x:c>
    </x:row>
    <x:row r="92">
      <x:c r="A92" s="8" t="n">
        <x:v>45641</x:v>
      </x:c>
      <x:c r="B92" s="3" t="inlineStr">
        <x:is>
          <x:t xml:space="preserve">Plano Médio</x:t>
        </x:is>
      </x:c>
      <x:c r="C92" s="3" t="inlineStr">
        <x:is>
          <x:t xml:space="preserve">Bahia</x:t>
        </x:is>
      </x:c>
      <x:c r="D92" s="9" t="n">
        <x:v>249.9</x:v>
      </x:c>
      <x:c r="E92" s="5" t="n">
        <x:v>2</x:v>
      </x:c>
      <x:c r="F92" s="9">
        <x:f>ROUND(D92*E92,2)</x:f>
        <x:v>499.8</x:v>
      </x:c>
      <x:c r="G92" s="9" t="n">
        <x:v>0</x:v>
      </x:c>
      <x:c r="H92" s="9">
        <x:f>ROUND(F92-G92,2)</x:f>
        <x:v>499.8</x:v>
      </x:c>
      <x:c r="I92" s="3" t="inlineStr">
        <x:is>
          <x:t xml:space="preserve">Erica Fernandes</x:t>
        </x:is>
      </x:c>
      <x:c r="J92" s="3" t="inlineStr">
        <x:is>
          <x:t xml:space="preserve">Guilherme Araújo</x:t>
        </x:is>
      </x:c>
      <x:c r="K92" s="3" t="str">
        <x:f>IF(B92="Plano Básico","Consulta e internação",IF(B92="Plano Médio","Consulta, emergência e internação","Consulta, emergência, internação e odontologia"))</x:f>
        <x:v>Consulta, emergência e internação</x:v>
      </x:c>
    </x:row>
    <x:row r="93">
      <x:c r="A93" s="8" t="n">
        <x:v>45651</x:v>
      </x:c>
      <x:c r="B93" s="3" t="inlineStr">
        <x:is>
          <x:t xml:space="preserve">Plano Básico</x:t>
        </x:is>
      </x:c>
      <x:c r="C93" s="3" t="inlineStr">
        <x:is>
          <x:t xml:space="preserve">Ceará</x:t>
        </x:is>
      </x:c>
      <x:c r="D93" s="9" t="n">
        <x:v>149.9</x:v>
      </x:c>
      <x:c r="E93" s="5" t="n">
        <x:v>1</x:v>
      </x:c>
      <x:c r="F93" s="9">
        <x:f>ROUND(D93*E93,2)</x:f>
        <x:v>149.9</x:v>
      </x:c>
      <x:c r="G93" s="9" t="n">
        <x:v>0</x:v>
      </x:c>
      <x:c r="H93" s="9">
        <x:f>ROUND(F93-G93,2)</x:f>
        <x:v>149.9</x:v>
      </x:c>
      <x:c r="I93" s="3" t="inlineStr">
        <x:is>
          <x:t xml:space="preserve">Camila Ribeiro</x:t>
        </x:is>
      </x:c>
      <x:c r="J93" s="3" t="inlineStr">
        <x:is>
          <x:t xml:space="preserve">Amanda Lopes</x:t>
        </x:is>
      </x:c>
      <x:c r="K93" s="3" t="str">
        <x:f>IF(B93="Plano Básico","Consulta e internação",IF(B93="Plano Médio","Consulta, emergência e internação","Consulta, emergência, internação e odontologia"))</x:f>
        <x:v>Consulta e internação</x:v>
      </x:c>
    </x:row>
    <x:row r="94">
      <x:c r="A94" s="8" t="n">
        <x:v>45653</x:v>
      </x:c>
      <x:c r="B94" s="3" t="inlineStr">
        <x:is>
          <x:t xml:space="preserve">Plano Básico</x:t>
        </x:is>
      </x:c>
      <x:c r="C94" s="3" t="inlineStr">
        <x:is>
          <x:t xml:space="preserve">Rio Grande do Sul</x:t>
        </x:is>
      </x:c>
      <x:c r="D94" s="9" t="n">
        <x:v>149.9</x:v>
      </x:c>
      <x:c r="E94" s="5" t="n">
        <x:v>2</x:v>
      </x:c>
      <x:c r="F94" s="9">
        <x:f>ROUND(D94*E94,2)</x:f>
        <x:v>299.8</x:v>
      </x:c>
      <x:c r="G94" s="9" t="n">
        <x:v>23.98</x:v>
      </x:c>
      <x:c r="H94" s="9">
        <x:f>ROUND(F94-G94,2)</x:f>
        <x:v>275.82</x:v>
      </x:c>
      <x:c r="I94" s="3" t="inlineStr">
        <x:is>
          <x:t xml:space="preserve">Kleber Monteiro</x:t>
        </x:is>
      </x:c>
      <x:c r="J94" s="3" t="inlineStr">
        <x:is>
          <x:t xml:space="preserve">Marcos Vinícius</x:t>
        </x:is>
      </x:c>
      <x:c r="K94" s="3" t="str">
        <x:f>IF(B94="Plano Básico","Consulta e internação",IF(B94="Plano Médio","Consulta, emergência e internação","Consulta, emergência, internação e odontologia"))</x:f>
        <x:v>Consulta e internação</x:v>
      </x:c>
    </x:row>
    <x:row r="95">
      <x:c r="A95" s="8" t="n">
        <x:v>45660</x:v>
      </x:c>
      <x:c r="B95" s="3" t="inlineStr">
        <x:is>
          <x:t xml:space="preserve">Plano Básico</x:t>
        </x:is>
      </x:c>
      <x:c r="C95" s="3" t="inlineStr">
        <x:is>
          <x:t xml:space="preserve">Espírito Santo</x:t>
        </x:is>
      </x:c>
      <x:c r="D95" s="9" t="n">
        <x:v>149.9</x:v>
      </x:c>
      <x:c r="E95" s="5" t="n">
        <x:v>4</x:v>
      </x:c>
      <x:c r="F95" s="9">
        <x:f>ROUND(D95*E95,2)</x:f>
        <x:v>599.6</x:v>
      </x:c>
      <x:c r="G95" s="9" t="n">
        <x:v>17.99</x:v>
      </x:c>
      <x:c r="H95" s="9">
        <x:f>ROUND(F95-G95,2)</x:f>
        <x:v>581.61</x:v>
      </x:c>
      <x:c r="I95" s="3" t="inlineStr">
        <x:is>
          <x:t xml:space="preserve">Sabrina Teixeira</x:t>
        </x:is>
      </x:c>
      <x:c r="J95" s="3" t="inlineStr">
        <x:is>
          <x:t xml:space="preserve">Amanda Lopes</x:t>
        </x:is>
      </x:c>
      <x:c r="K95" s="3" t="str">
        <x:f>IF(B95="Plano Básico","Consulta e internação",IF(B95="Plano Médio","Consulta, emergência e internação","Consulta, emergência, internação e odontologia"))</x:f>
        <x:v>Consulta e internação</x:v>
      </x:c>
    </x:row>
    <x:row r="96">
      <x:c r="A96" s="8" t="n">
        <x:v>45662</x:v>
      </x:c>
      <x:c r="B96" s="3" t="inlineStr">
        <x:is>
          <x:t xml:space="preserve">Plano Básico</x:t>
        </x:is>
      </x:c>
      <x:c r="C96" s="3" t="inlineStr">
        <x:is>
          <x:t xml:space="preserve">São Paulo</x:t>
        </x:is>
      </x:c>
      <x:c r="D96" s="9" t="n">
        <x:v>149.9</x:v>
      </x:c>
      <x:c r="E96" s="5" t="n">
        <x:v>1</x:v>
      </x:c>
      <x:c r="F96" s="9">
        <x:f>ROUND(D96*E96,2)</x:f>
        <x:v>149.9</x:v>
      </x:c>
      <x:c r="G96" s="9" t="n">
        <x:v>9.49</x:v>
      </x:c>
      <x:c r="H96" s="9">
        <x:f>ROUND(F96-G96,2)</x:f>
        <x:v>140.41</x:v>
      </x:c>
      <x:c r="I96" s="3" t="inlineStr">
        <x:is>
          <x:t xml:space="preserve">Aline Queiroz</x:t>
        </x:is>
      </x:c>
      <x:c r="J96" s="3" t="inlineStr">
        <x:is>
          <x:t xml:space="preserve">Marcos Vinícius</x:t>
        </x:is>
      </x:c>
      <x:c r="K96" s="3" t="str">
        <x:f>IF(B96="Plano Básico","Consulta e internação",IF(B96="Plano Médio","Consulta, emergência e internação","Consulta, emergência, internação e odontologia"))</x:f>
        <x:v>Consulta e internação</x:v>
      </x:c>
    </x:row>
    <x:row r="97">
      <x:c r="A97" s="8" t="n">
        <x:v>45676</x:v>
      </x:c>
      <x:c r="B97" s="3" t="inlineStr">
        <x:is>
          <x:t xml:space="preserve">Plano Básico</x:t>
        </x:is>
      </x:c>
      <x:c r="C97" s="3" t="inlineStr">
        <x:is>
          <x:t xml:space="preserve">Bahia</x:t>
        </x:is>
      </x:c>
      <x:c r="D97" s="9" t="n">
        <x:v>149.9</x:v>
      </x:c>
      <x:c r="E97" s="5" t="n">
        <x:v>2</x:v>
      </x:c>
      <x:c r="F97" s="9">
        <x:f>ROUND(D97*E97,2)</x:f>
        <x:v>299.8</x:v>
      </x:c>
      <x:c r="G97" s="9" t="n">
        <x:v>0</x:v>
      </x:c>
      <x:c r="H97" s="9">
        <x:f>ROUND(F97-G97,2)</x:f>
        <x:v>299.8</x:v>
      </x:c>
      <x:c r="I97" s="3" t="inlineStr">
        <x:is>
          <x:t xml:space="preserve">Juliana Cunha</x:t>
        </x:is>
      </x:c>
      <x:c r="J97" s="3" t="inlineStr">
        <x:is>
          <x:t xml:space="preserve">Juliana Martins</x:t>
        </x:is>
      </x:c>
      <x:c r="K97" s="3" t="str">
        <x:f>IF(B97="Plano Básico","Consulta e internação",IF(B97="Plano Médio","Consulta, emergência e internação","Consulta, emergência, internação e odontologia"))</x:f>
        <x:v>Consulta e internação</x:v>
      </x:c>
    </x:row>
    <x:row r="98">
      <x:c r="A98" s="8" t="n">
        <x:v>45679</x:v>
      </x:c>
      <x:c r="B98" s="3" t="inlineStr">
        <x:is>
          <x:t xml:space="preserve">Plano Médio</x:t>
        </x:is>
      </x:c>
      <x:c r="C98" s="3" t="inlineStr">
        <x:is>
          <x:t xml:space="preserve">Bahia</x:t>
        </x:is>
      </x:c>
      <x:c r="D98" s="9" t="n">
        <x:v>249.9</x:v>
      </x:c>
      <x:c r="E98" s="5" t="n">
        <x:v>3</x:v>
      </x:c>
      <x:c r="F98" s="9">
        <x:f>ROUND(D98*E98,2)</x:f>
        <x:v>749.7</x:v>
      </x:c>
      <x:c r="G98" s="9" t="n">
        <x:v>37.49</x:v>
      </x:c>
      <x:c r="H98" s="9">
        <x:f>ROUND(F98-G98,2)</x:f>
        <x:v>712.21</x:v>
      </x:c>
      <x:c r="I98" s="3" t="inlineStr">
        <x:is>
          <x:t xml:space="preserve">William Fonseca</x:t>
        </x:is>
      </x:c>
      <x:c r="J98" s="3" t="inlineStr">
        <x:is>
          <x:t xml:space="preserve">Diego Nascimento</x:t>
        </x:is>
      </x:c>
      <x:c r="K98" s="3" t="str">
        <x:f>IF(B98="Plano Básico","Consulta e internação",IF(B98="Plano Médio","Consulta, emergência e internação","Consulta, emergência, internação e odontologia"))</x:f>
        <x:v>Consulta, emergência e internação</x:v>
      </x:c>
    </x:row>
    <x:row r="99">
      <x:c r="A99" s="8" t="n">
        <x:v>45681</x:v>
      </x:c>
      <x:c r="B99" s="3" t="inlineStr">
        <x:is>
          <x:t xml:space="preserve">Plano Básico</x:t>
        </x:is>
      </x:c>
      <x:c r="C99" s="3" t="inlineStr">
        <x:is>
          <x:t xml:space="preserve">Ceará</x:t>
        </x:is>
      </x:c>
      <x:c r="D99" s="9" t="n">
        <x:v>149.9</x:v>
      </x:c>
      <x:c r="E99" s="5" t="n">
        <x:v>2</x:v>
      </x:c>
      <x:c r="F99" s="9">
        <x:f>ROUND(D99*E99,2)</x:f>
        <x:v>299.8</x:v>
      </x:c>
      <x:c r="G99" s="9" t="n">
        <x:v>0</x:v>
      </x:c>
      <x:c r="H99" s="9">
        <x:f>ROUND(F99-G99,2)</x:f>
        <x:v>299.8</x:v>
      </x:c>
      <x:c r="I99" s="3" t="inlineStr">
        <x:is>
          <x:t xml:space="preserve">Ursula Farias</x:t>
        </x:is>
      </x:c>
      <x:c r="J99" s="3" t="inlineStr">
        <x:is>
          <x:t xml:space="preserve">Amanda Lopes</x:t>
        </x:is>
      </x:c>
      <x:c r="K99" s="3" t="str">
        <x:f>IF(B99="Plano Básico","Consulta e internação",IF(B99="Plano Médio","Consulta, emergência e internação","Consulta, emergência, internação e odontologia"))</x:f>
        <x:v>Consulta e internação</x:v>
      </x:c>
    </x:row>
    <x:row r="100">
      <x:c r="A100" s="8" t="n">
        <x:v>45682</x:v>
      </x:c>
      <x:c r="B100" s="3" t="inlineStr">
        <x:is>
          <x:t xml:space="preserve">Plano Básico</x:t>
        </x:is>
      </x:c>
      <x:c r="C100" s="3" t="inlineStr">
        <x:is>
          <x:t xml:space="preserve">Santa Catarina</x:t>
        </x:is>
      </x:c>
      <x:c r="D100" s="9" t="n">
        <x:v>149.9</x:v>
      </x:c>
      <x:c r="E100" s="5" t="n">
        <x:v>1</x:v>
      </x:c>
      <x:c r="F100" s="9">
        <x:f>ROUND(D100*E100,2)</x:f>
        <x:v>149.9</x:v>
      </x:c>
      <x:c r="G100" s="9" t="n">
        <x:v>12.49</x:v>
      </x:c>
      <x:c r="H100" s="9">
        <x:f>ROUND(F100-G100,2)</x:f>
        <x:v>137.41</x:v>
      </x:c>
      <x:c r="I100" s="3" t="inlineStr">
        <x:is>
          <x:t xml:space="preserve">Otávio Braga</x:t>
        </x:is>
      </x:c>
      <x:c r="J100" s="3" t="inlineStr">
        <x:is>
          <x:t xml:space="preserve">Fernanda Souza</x:t>
        </x:is>
      </x:c>
      <x:c r="K100" s="3" t="str">
        <x:f>IF(B100="Plano Básico","Consulta e internação",IF(B100="Plano Médio","Consulta, emergência e internação","Consulta, emergência, internação e odontologia"))</x:f>
        <x:v>Consulta e internação</x:v>
      </x:c>
    </x:row>
    <x:row r="101">
      <x:c r="A101" s="8" t="n">
        <x:v>45683</x:v>
      </x:c>
      <x:c r="B101" s="3" t="inlineStr">
        <x:is>
          <x:t xml:space="preserve">Plano Médio</x:t>
        </x:is>
      </x:c>
      <x:c r="C101" s="3" t="inlineStr">
        <x:is>
          <x:t xml:space="preserve">Distrito Federal</x:t>
        </x:is>
      </x:c>
      <x:c r="D101" s="9" t="n">
        <x:v>249.9</x:v>
      </x:c>
      <x:c r="E101" s="5" t="n">
        <x:v>2</x:v>
      </x:c>
      <x:c r="F101" s="9">
        <x:f>ROUND(D101*E101,2)</x:f>
        <x:v>499.8</x:v>
      </x:c>
      <x:c r="G101" s="9" t="n">
        <x:v>0</x:v>
      </x:c>
      <x:c r="H101" s="9">
        <x:f>ROUND(F101-G101,2)</x:f>
        <x:v>499.8</x:v>
      </x:c>
      <x:c r="I101" s="3" t="inlineStr">
        <x:is>
          <x:t xml:space="preserve">Camila Ribeiro</x:t>
        </x:is>
      </x:c>
      <x:c r="J101" s="3" t="inlineStr">
        <x:is>
          <x:t xml:space="preserve">Carlos Lima</x:t>
        </x:is>
      </x:c>
      <x:c r="K101" s="3" t="str">
        <x:f>IF(B101="Plano Básico","Consulta e internação",IF(B101="Plano Médio","Consulta, emergência e internação","Consulta, emergência, internação e odontologia"))</x:f>
        <x:v>Consulta, emergência e internação</x:v>
      </x:c>
    </x:row>
    <x:row r="102">
      <x:c r="A102" s="8" t="n">
        <x:v>45691</x:v>
      </x:c>
      <x:c r="B102" s="3" t="inlineStr">
        <x:is>
          <x:t xml:space="preserve">Plano Master</x:t>
        </x:is>
      </x:c>
      <x:c r="C102" s="3" t="inlineStr">
        <x:is>
          <x:t xml:space="preserve">Pernambuco</x:t>
        </x:is>
      </x:c>
      <x:c r="D102" s="9" t="n">
        <x:v>399.9</x:v>
      </x:c>
      <x:c r="E102" s="5" t="n">
        <x:v>4</x:v>
      </x:c>
      <x:c r="F102" s="9">
        <x:f>ROUND(D102*E102,2)</x:f>
        <x:v>1599.6</x:v>
      </x:c>
      <x:c r="G102" s="9" t="n">
        <x:v>0</x:v>
      </x:c>
      <x:c r="H102" s="9">
        <x:f>ROUND(F102-G102,2)</x:f>
        <x:v>1599.6</x:v>
      </x:c>
      <x:c r="I102" s="3" t="inlineStr">
        <x:is>
          <x:t xml:space="preserve">Adriana Moraes</x:t>
        </x:is>
      </x:c>
      <x:c r="J102" s="3" t="inlineStr">
        <x:is>
          <x:t xml:space="preserve">Larissa Rocha</x:t>
        </x:is>
      </x:c>
      <x:c r="K102" s="3" t="str">
        <x:f>IF(B102="Plano Básico","Consulta e internação",IF(B102="Plano Médio","Consulta, emergência e internação","Consulta, emergência, internação e odontologia"))</x:f>
        <x:v>Consulta, emergência, internação e odontologia</x:v>
      </x:c>
    </x:row>
    <x:row r="103">
      <x:c r="A103" s="8" t="n">
        <x:v>45698</x:v>
      </x:c>
      <x:c r="B103" s="3" t="inlineStr">
        <x:is>
          <x:t xml:space="preserve">Plano Básico</x:t>
        </x:is>
      </x:c>
      <x:c r="C103" s="3" t="inlineStr">
        <x:is>
          <x:t xml:space="preserve">Distrito Federal</x:t>
        </x:is>
      </x:c>
      <x:c r="D103" s="9" t="n">
        <x:v>149.9</x:v>
      </x:c>
      <x:c r="E103" s="5" t="n">
        <x:v>1</x:v>
      </x:c>
      <x:c r="F103" s="9">
        <x:f>ROUND(D103*E103,2)</x:f>
        <x:v>149.9</x:v>
      </x:c>
      <x:c r="G103" s="9" t="n">
        <x:v>9.49</x:v>
      </x:c>
      <x:c r="H103" s="9">
        <x:f>ROUND(F103-G103,2)</x:f>
        <x:v>140.41</x:v>
      </x:c>
      <x:c r="I103" s="3" t="inlineStr">
        <x:is>
          <x:t xml:space="preserve">Ursula Farias</x:t>
        </x:is>
      </x:c>
      <x:c r="J103" s="3" t="inlineStr">
        <x:is>
          <x:t xml:space="preserve">Beatriz Gonçalves</x:t>
        </x:is>
      </x:c>
      <x:c r="K103" s="3" t="str">
        <x:f>IF(B103="Plano Básico","Consulta e internação",IF(B103="Plano Médio","Consulta, emergência e internação","Consulta, emergência, internação e odontologia"))</x:f>
        <x:v>Consulta e internação</x:v>
      </x:c>
    </x:row>
    <x:row r="104">
      <x:c r="A104" s="8" t="n">
        <x:v>45703</x:v>
      </x:c>
      <x:c r="B104" s="3" t="inlineStr">
        <x:is>
          <x:t xml:space="preserve">Plano Básico</x:t>
        </x:is>
      </x:c>
      <x:c r="C104" s="3" t="inlineStr">
        <x:is>
          <x:t xml:space="preserve">Distrito Federal</x:t>
        </x:is>
      </x:c>
      <x:c r="D104" s="9" t="n">
        <x:v>149.9</x:v>
      </x:c>
      <x:c r="E104" s="5" t="n">
        <x:v>3</x:v>
      </x:c>
      <x:c r="F104" s="9">
        <x:f>ROUND(D104*E104,2)</x:f>
        <x:v>449.7</x:v>
      </x:c>
      <x:c r="G104" s="9" t="n">
        <x:v>0</x:v>
      </x:c>
      <x:c r="H104" s="9">
        <x:f>ROUND(F104-G104,2)</x:f>
        <x:v>449.7</x:v>
      </x:c>
      <x:c r="I104" s="3" t="inlineStr">
        <x:is>
          <x:t xml:space="preserve">Felipe Rocha</x:t>
        </x:is>
      </x:c>
      <x:c r="J104" s="3" t="inlineStr">
        <x:is>
          <x:t xml:space="preserve">Guilherme Araújo</x:t>
        </x:is>
      </x:c>
      <x:c r="K104" s="3" t="str">
        <x:f>IF(B104="Plano Básico","Consulta e internação",IF(B104="Plano Médio","Consulta, emergência e internação","Consulta, emergência, internação e odontologia"))</x:f>
        <x:v>Consulta e internação</x:v>
      </x:c>
    </x:row>
    <x:row r="105">
      <x:c r="A105" s="8" t="n">
        <x:v>45709</x:v>
      </x:c>
      <x:c r="B105" s="3" t="inlineStr">
        <x:is>
          <x:t xml:space="preserve">Plano Básico</x:t>
        </x:is>
      </x:c>
      <x:c r="C105" s="3" t="inlineStr">
        <x:is>
          <x:t xml:space="preserve">Espírito Santo</x:t>
        </x:is>
      </x:c>
      <x:c r="D105" s="9" t="n">
        <x:v>149.9</x:v>
      </x:c>
      <x:c r="E105" s="5" t="n">
        <x:v>3</x:v>
      </x:c>
      <x:c r="F105" s="9">
        <x:f>ROUND(D105*E105,2)</x:f>
        <x:v>449.7</x:v>
      </x:c>
      <x:c r="G105" s="9" t="n">
        <x:v>0</x:v>
      </x:c>
      <x:c r="H105" s="9">
        <x:f>ROUND(F105-G105,2)</x:f>
        <x:v>449.7</x:v>
      </x:c>
      <x:c r="I105" s="3" t="inlineStr">
        <x:is>
          <x:t xml:space="preserve">Giovana Araújo</x:t>
        </x:is>
      </x:c>
      <x:c r="J105" s="3" t="inlineStr">
        <x:is>
          <x:t xml:space="preserve">Larissa Rocha</x:t>
        </x:is>
      </x:c>
      <x:c r="K105" s="3" t="str">
        <x:f>IF(B105="Plano Básico","Consulta e internação",IF(B105="Plano Médio","Consulta, emergência e internação","Consulta, emergência, internação e odontologia"))</x:f>
        <x:v>Consulta e internação</x:v>
      </x:c>
    </x:row>
    <x:row r="106">
      <x:c r="A106" s="8" t="n">
        <x:v>45710</x:v>
      </x:c>
      <x:c r="B106" s="3" t="inlineStr">
        <x:is>
          <x:t xml:space="preserve">Plano Básico</x:t>
        </x:is>
      </x:c>
      <x:c r="C106" s="3" t="inlineStr">
        <x:is>
          <x:t xml:space="preserve">Rio Grande do Sul</x:t>
        </x:is>
      </x:c>
      <x:c r="D106" s="9" t="n">
        <x:v>149.9</x:v>
      </x:c>
      <x:c r="E106" s="5" t="n">
        <x:v>2</x:v>
      </x:c>
      <x:c r="F106" s="9">
        <x:f>ROUND(D106*E106,2)</x:f>
        <x:v>299.8</x:v>
      </x:c>
      <x:c r="G106" s="9" t="n">
        <x:v>29.98</x:v>
      </x:c>
      <x:c r="H106" s="9">
        <x:f>ROUND(F106-G106,2)</x:f>
        <x:v>269.82</x:v>
      </x:c>
      <x:c r="I106" s="3" t="inlineStr">
        <x:is>
          <x:t xml:space="preserve">Daniel Martins</x:t>
        </x:is>
      </x:c>
      <x:c r="J106" s="3" t="inlineStr">
        <x:is>
          <x:t xml:space="preserve">Diego Nascimento</x:t>
        </x:is>
      </x:c>
      <x:c r="K106" s="3" t="str">
        <x:f>IF(B106="Plano Básico","Consulta e internação",IF(B106="Plano Médio","Consulta, emergência e internação","Consulta, emergência, internação e odontologia"))</x:f>
        <x:v>Consulta e internação</x:v>
      </x:c>
    </x:row>
    <x:row r="107">
      <x:c r="A107" s="8" t="n">
        <x:v>45714</x:v>
      </x:c>
      <x:c r="B107" s="3" t="inlineStr">
        <x:is>
          <x:t xml:space="preserve">Plano Master</x:t>
        </x:is>
      </x:c>
      <x:c r="C107" s="3" t="inlineStr">
        <x:is>
          <x:t xml:space="preserve">Minas Gerais</x:t>
        </x:is>
      </x:c>
      <x:c r="D107" s="9" t="n">
        <x:v>399.9</x:v>
      </x:c>
      <x:c r="E107" s="5" t="n">
        <x:v>1</x:v>
      </x:c>
      <x:c r="F107" s="9">
        <x:f>ROUND(D107*E107,2)</x:f>
        <x:v>399.9</x:v>
      </x:c>
      <x:c r="G107" s="9" t="n">
        <x:v>12</x:v>
      </x:c>
      <x:c r="H107" s="9">
        <x:f>ROUND(F107-G107,2)</x:f>
        <x:v>387.9</x:v>
      </x:c>
      <x:c r="I107" s="3" t="inlineStr">
        <x:is>
          <x:t xml:space="preserve">Helena Coelho</x:t>
        </x:is>
      </x:c>
      <x:c r="J107" s="3" t="inlineStr">
        <x:is>
          <x:t xml:space="preserve">Beatriz Gonçalves</x:t>
        </x:is>
      </x:c>
      <x:c r="K107" s="3" t="str">
        <x:f>IF(B107="Plano Básico","Consulta e internação",IF(B107="Plano Médio","Consulta, emergência e internação","Consulta, emergência, internação e odontologia"))</x:f>
        <x:v>Consulta, emergência, internação e odontologia</x:v>
      </x:c>
    </x:row>
    <x:row r="108">
      <x:c r="A108" s="8" t="n">
        <x:v>45724</x:v>
      </x:c>
      <x:c r="B108" s="3" t="inlineStr">
        <x:is>
          <x:t xml:space="preserve">Plano Básico</x:t>
        </x:is>
      </x:c>
      <x:c r="C108" s="3" t="inlineStr">
        <x:is>
          <x:t xml:space="preserve">Distrito Federal</x:t>
        </x:is>
      </x:c>
      <x:c r="D108" s="9" t="n">
        <x:v>149.9</x:v>
      </x:c>
      <x:c r="E108" s="5" t="n">
        <x:v>2</x:v>
      </x:c>
      <x:c r="F108" s="9">
        <x:f>ROUND(D108*E108,2)</x:f>
        <x:v>299.8</x:v>
      </x:c>
      <x:c r="G108" s="9" t="n">
        <x:v>0</x:v>
      </x:c>
      <x:c r="H108" s="9">
        <x:f>ROUND(F108-G108,2)</x:f>
        <x:v>299.8</x:v>
      </x:c>
      <x:c r="I108" s="3" t="inlineStr">
        <x:is>
          <x:t xml:space="preserve">Bruno Almeida</x:t>
        </x:is>
      </x:c>
      <x:c r="J108" s="3" t="inlineStr">
        <x:is>
          <x:t xml:space="preserve">Marcos Vinícius</x:t>
        </x:is>
      </x:c>
      <x:c r="K108" s="3" t="str">
        <x:f>IF(B108="Plano Básico","Consulta e internação",IF(B108="Plano Médio","Consulta, emergência e internação","Consulta, emergência, internação e odontologia"))</x:f>
        <x:v>Consulta e internação</x:v>
      </x:c>
    </x:row>
    <x:row r="109">
      <x:c r="A109" s="8" t="n">
        <x:v>45726</x:v>
      </x:c>
      <x:c r="B109" s="3" t="inlineStr">
        <x:is>
          <x:t xml:space="preserve">Plano Básico</x:t>
        </x:is>
      </x:c>
      <x:c r="C109" s="3" t="inlineStr">
        <x:is>
          <x:t xml:space="preserve">São Paulo</x:t>
        </x:is>
      </x:c>
      <x:c r="D109" s="9" t="n">
        <x:v>149.9</x:v>
      </x:c>
      <x:c r="E109" s="5" t="n">
        <x:v>2</x:v>
      </x:c>
      <x:c r="F109" s="9">
        <x:f>ROUND(D109*E109,2)</x:f>
        <x:v>299.8</x:v>
      </x:c>
      <x:c r="G109" s="9" t="n">
        <x:v>0</x:v>
      </x:c>
      <x:c r="H109" s="9">
        <x:f>ROUND(F109-G109,2)</x:f>
        <x:v>299.8</x:v>
      </x:c>
      <x:c r="I109" s="3" t="inlineStr">
        <x:is>
          <x:t xml:space="preserve">Vinícius Azevedo</x:t>
        </x:is>
      </x:c>
      <x:c r="J109" s="3" t="inlineStr">
        <x:is>
          <x:t xml:space="preserve">Carlos Lima</x:t>
        </x:is>
      </x:c>
      <x:c r="K109" s="3" t="str">
        <x:f>IF(B109="Plano Básico","Consulta e internação",IF(B109="Plano Médio","Consulta, emergência e internação","Consulta, emergência, internação e odontologia"))</x:f>
        <x:v>Consulta e internação</x:v>
      </x:c>
    </x:row>
    <x:row r="110">
      <x:c r="A110" s="8" t="n">
        <x:v>45731</x:v>
      </x:c>
      <x:c r="B110" s="3" t="inlineStr">
        <x:is>
          <x:t xml:space="preserve">Plano Básico</x:t>
        </x:is>
      </x:c>
      <x:c r="C110" s="3" t="inlineStr">
        <x:is>
          <x:t xml:space="preserve">Minas Gerais</x:t>
        </x:is>
      </x:c>
      <x:c r="D110" s="9" t="n">
        <x:v>149.9</x:v>
      </x:c>
      <x:c r="E110" s="5" t="n">
        <x:v>1</x:v>
      </x:c>
      <x:c r="F110" s="9">
        <x:f>ROUND(D110*E110,2)</x:f>
        <x:v>149.9</x:v>
      </x:c>
      <x:c r="G110" s="9" t="n">
        <x:v>14.99</x:v>
      </x:c>
      <x:c r="H110" s="9">
        <x:f>ROUND(F110-G110,2)</x:f>
        <x:v>134.91</x:v>
      </x:c>
      <x:c r="I110" s="3" t="inlineStr">
        <x:is>
          <x:t xml:space="preserve">Daniel Martins</x:t>
        </x:is>
      </x:c>
      <x:c r="J110" s="3" t="inlineStr">
        <x:is>
          <x:t xml:space="preserve">Fernanda Souza</x:t>
        </x:is>
      </x:c>
      <x:c r="K110" s="3" t="str">
        <x:f>IF(B110="Plano Básico","Consulta e internação",IF(B110="Plano Médio","Consulta, emergência e internação","Consulta, emergência, internação e odontologia"))</x:f>
        <x:v>Consulta e internação</x:v>
      </x:c>
    </x:row>
    <x:row r="111">
      <x:c r="A111" s="8" t="n">
        <x:v>45735</x:v>
      </x:c>
      <x:c r="B111" s="3" t="inlineStr">
        <x:is>
          <x:t xml:space="preserve">Plano Básico</x:t>
        </x:is>
      </x:c>
      <x:c r="C111" s="3" t="inlineStr">
        <x:is>
          <x:t xml:space="preserve">São Paulo</x:t>
        </x:is>
      </x:c>
      <x:c r="D111" s="9" t="n">
        <x:v>149.9</x:v>
      </x:c>
      <x:c r="E111" s="5" t="n">
        <x:v>2</x:v>
      </x:c>
      <x:c r="F111" s="9">
        <x:f>ROUND(D111*E111,2)</x:f>
        <x:v>299.8</x:v>
      </x:c>
      <x:c r="G111" s="9" t="n">
        <x:v>13.98</x:v>
      </x:c>
      <x:c r="H111" s="9">
        <x:f>ROUND(F111-G111,2)</x:f>
        <x:v>285.82</x:v>
      </x:c>
      <x:c r="I111" s="3" t="inlineStr">
        <x:is>
          <x:t xml:space="preserve">Felipe Rocha</x:t>
        </x:is>
      </x:c>
      <x:c r="J111" s="3" t="inlineStr">
        <x:is>
          <x:t xml:space="preserve">Diego Nascimento</x:t>
        </x:is>
      </x:c>
      <x:c r="K111" s="3" t="str">
        <x:f>IF(B111="Plano Básico","Consulta e internação",IF(B111="Plano Médio","Consulta, emergência e internação","Consulta, emergência, internação e odontologia"))</x:f>
        <x:v>Consulta e internação</x:v>
      </x:c>
    </x:row>
    <x:row r="112">
      <x:c r="A112" s="8" t="n">
        <x:v>45738</x:v>
      </x:c>
      <x:c r="B112" s="3" t="inlineStr">
        <x:is>
          <x:t xml:space="preserve">Plano Médio</x:t>
        </x:is>
      </x:c>
      <x:c r="C112" s="3" t="inlineStr">
        <x:is>
          <x:t xml:space="preserve">Pernambuco</x:t>
        </x:is>
      </x:c>
      <x:c r="D112" s="9" t="n">
        <x:v>249.9</x:v>
      </x:c>
      <x:c r="E112" s="5" t="n">
        <x:v>1</x:v>
      </x:c>
      <x:c r="F112" s="9">
        <x:f>ROUND(D112*E112,2)</x:f>
        <x:v>249.9</x:v>
      </x:c>
      <x:c r="G112" s="9" t="n">
        <x:v>12.49</x:v>
      </x:c>
      <x:c r="H112" s="9">
        <x:f>ROUND(F112-G112,2)</x:f>
        <x:v>237.41</x:v>
      </x:c>
      <x:c r="I112" s="3" t="inlineStr">
        <x:is>
          <x:t xml:space="preserve">Igor Macedo</x:t>
        </x:is>
      </x:c>
      <x:c r="J112" s="3" t="inlineStr">
        <x:is>
          <x:t xml:space="preserve">Marcos Vinícius</x:t>
        </x:is>
      </x:c>
      <x:c r="K112" s="3" t="str">
        <x:f>IF(B112="Plano Básico","Consulta e internação",IF(B112="Plano Médio","Consulta, emergência e internação","Consulta, emergência, internação e odontologia"))</x:f>
        <x:v>Consulta, emergência e internação</x:v>
      </x:c>
    </x:row>
    <x:row r="113">
      <x:c r="A113" s="8" t="n">
        <x:v>45745</x:v>
      </x:c>
      <x:c r="B113" s="3" t="inlineStr">
        <x:is>
          <x:t xml:space="preserve">Plano Básico</x:t>
        </x:is>
      </x:c>
      <x:c r="C113" s="3" t="inlineStr">
        <x:is>
          <x:t xml:space="preserve">Ceará</x:t>
        </x:is>
      </x:c>
      <x:c r="D113" s="9" t="n">
        <x:v>149.9</x:v>
      </x:c>
      <x:c r="E113" s="5" t="n">
        <x:v>2</x:v>
      </x:c>
      <x:c r="F113" s="9">
        <x:f>ROUND(D113*E113,2)</x:f>
        <x:v>299.8</x:v>
      </x:c>
      <x:c r="G113" s="9" t="n">
        <x:v>13.98</x:v>
      </x:c>
      <x:c r="H113" s="9">
        <x:f>ROUND(F113-G113,2)</x:f>
        <x:v>285.82</x:v>
      </x:c>
      <x:c r="I113" s="3" t="inlineStr">
        <x:is>
          <x:t xml:space="preserve">Diego Amaral</x:t>
        </x:is>
      </x:c>
      <x:c r="J113" s="3" t="inlineStr">
        <x:is>
          <x:t xml:space="preserve">Fernanda Souza</x:t>
        </x:is>
      </x:c>
      <x:c r="K113" s="3" t="str">
        <x:f>IF(B113="Plano Básico","Consulta e internação",IF(B113="Plano Médio","Consulta, emergência e internação","Consulta, emergência, internação e odontologia"))</x:f>
        <x:v>Consulta e internação</x:v>
      </x:c>
    </x:row>
    <x:row r="114">
      <x:c r="A114" s="8" t="n">
        <x:v>45750</x:v>
      </x:c>
      <x:c r="B114" s="3" t="inlineStr">
        <x:is>
          <x:t xml:space="preserve">Plano Master</x:t>
        </x:is>
      </x:c>
      <x:c r="C114" s="3" t="inlineStr">
        <x:is>
          <x:t xml:space="preserve">Santa Catarina</x:t>
        </x:is>
      </x:c>
      <x:c r="D114" s="9" t="n">
        <x:v>399.9</x:v>
      </x:c>
      <x:c r="E114" s="5" t="n">
        <x:v>3</x:v>
      </x:c>
      <x:c r="F114" s="9">
        <x:f>ROUND(D114*E114,2)</x:f>
        <x:v>1199.7</x:v>
      </x:c>
      <x:c r="G114" s="9" t="n">
        <x:v>119.97</x:v>
      </x:c>
      <x:c r="H114" s="9">
        <x:f>ROUND(F114-G114,2)</x:f>
        <x:v>1079.73</x:v>
      </x:c>
      <x:c r="I114" s="3" t="inlineStr">
        <x:is>
          <x:t xml:space="preserve">Vinícius Azevedo</x:t>
        </x:is>
      </x:c>
      <x:c r="J114" s="3" t="inlineStr">
        <x:is>
          <x:t xml:space="preserve">Marcos Vinícius</x:t>
        </x:is>
      </x:c>
      <x:c r="K114" s="3" t="str">
        <x:f>IF(B114="Plano Básico","Consulta e internação",IF(B114="Plano Médio","Consulta, emergência e internação","Consulta, emergência, internação e odontologia"))</x:f>
        <x:v>Consulta, emergência, internação e odontologia</x:v>
      </x:c>
    </x:row>
    <x:row r="115">
      <x:c r="A115" s="8" t="n">
        <x:v>45752</x:v>
      </x:c>
      <x:c r="B115" s="3" t="inlineStr">
        <x:is>
          <x:t xml:space="preserve">Plano Básico</x:t>
        </x:is>
      </x:c>
      <x:c r="C115" s="3" t="inlineStr">
        <x:is>
          <x:t xml:space="preserve">São Paulo</x:t>
        </x:is>
      </x:c>
      <x:c r="D115" s="9" t="n">
        <x:v>149.9</x:v>
      </x:c>
      <x:c r="E115" s="5" t="n">
        <x:v>4</x:v>
      </x:c>
      <x:c r="F115" s="9">
        <x:f>ROUND(D115*E115,2)</x:f>
        <x:v>599.6</x:v>
      </x:c>
      <x:c r="G115" s="9" t="n">
        <x:v>17.99</x:v>
      </x:c>
      <x:c r="H115" s="9">
        <x:f>ROUND(F115-G115,2)</x:f>
        <x:v>581.61</x:v>
      </x:c>
      <x:c r="I115" s="3" t="inlineStr">
        <x:is>
          <x:t xml:space="preserve">Erica Fernandes</x:t>
        </x:is>
      </x:c>
      <x:c r="J115" s="3" t="inlineStr">
        <x:is>
          <x:t xml:space="preserve">Carlos Lima</x:t>
        </x:is>
      </x:c>
      <x:c r="K115" s="3" t="str">
        <x:f>IF(B115="Plano Básico","Consulta e internação",IF(B115="Plano Médio","Consulta, emergência e internação","Consulta, emergência, internação e odontologia"))</x:f>
        <x:v>Consulta e internação</x:v>
      </x:c>
    </x:row>
    <x:row r="116">
      <x:c r="A116" s="8" t="n">
        <x:v>45757</x:v>
      </x:c>
      <x:c r="B116" s="3" t="inlineStr">
        <x:is>
          <x:t xml:space="preserve">Plano Básico</x:t>
        </x:is>
      </x:c>
      <x:c r="C116" s="3" t="inlineStr">
        <x:is>
          <x:t xml:space="preserve">Santa Catarina</x:t>
        </x:is>
      </x:c>
      <x:c r="D116" s="9" t="n">
        <x:v>149.9</x:v>
      </x:c>
      <x:c r="E116" s="5" t="n">
        <x:v>2</x:v>
      </x:c>
      <x:c r="F116" s="9">
        <x:f>ROUND(D116*E116,2)</x:f>
        <x:v>299.8</x:v>
      </x:c>
      <x:c r="G116" s="9" t="n">
        <x:v>0</x:v>
      </x:c>
      <x:c r="H116" s="9">
        <x:f>ROUND(F116-G116,2)</x:f>
        <x:v>299.8</x:v>
      </x:c>
      <x:c r="I116" s="3" t="inlineStr">
        <x:is>
          <x:t xml:space="preserve">Wellington Castro</x:t>
        </x:is>
      </x:c>
      <x:c r="J116" s="3" t="inlineStr">
        <x:is>
          <x:t xml:space="preserve">Diego Nascimento</x:t>
        </x:is>
      </x:c>
      <x:c r="K116" s="3" t="str">
        <x:f>IF(B116="Plano Básico","Consulta e internação",IF(B116="Plano Médio","Consulta, emergência e internação","Consulta, emergência, internação e odontologia"))</x:f>
        <x:v>Consulta e internação</x:v>
      </x:c>
    </x:row>
    <x:row r="117">
      <x:c r="A117" s="8" t="n">
        <x:v>45757</x:v>
      </x:c>
      <x:c r="B117" s="3" t="inlineStr">
        <x:is>
          <x:t xml:space="preserve">Plano Médio</x:t>
        </x:is>
      </x:c>
      <x:c r="C117" s="3" t="inlineStr">
        <x:is>
          <x:t xml:space="preserve">Paraná</x:t>
        </x:is>
      </x:c>
      <x:c r="D117" s="9" t="n">
        <x:v>249.9</x:v>
      </x:c>
      <x:c r="E117" s="5" t="n">
        <x:v>1</x:v>
      </x:c>
      <x:c r="F117" s="9">
        <x:f>ROUND(D117*E117,2)</x:f>
        <x:v>249.9</x:v>
      </x:c>
      <x:c r="G117" s="9" t="n">
        <x:v>0</x:v>
      </x:c>
      <x:c r="H117" s="9">
        <x:f>ROUND(F117-G117,2)</x:f>
        <x:v>249.9</x:v>
      </x:c>
      <x:c r="I117" s="3" t="inlineStr">
        <x:is>
          <x:t xml:space="preserve">Helena Coelho</x:t>
        </x:is>
      </x:c>
      <x:c r="J117" s="3" t="inlineStr">
        <x:is>
          <x:t xml:space="preserve">Patrícia Silva</x:t>
        </x:is>
      </x:c>
      <x:c r="K117" s="3" t="str">
        <x:f>IF(B117="Plano Básico","Consulta e internação",IF(B117="Plano Médio","Consulta, emergência e internação","Consulta, emergência, internação e odontologia"))</x:f>
        <x:v>Consulta, emergência e internação</x:v>
      </x:c>
    </x:row>
    <x:row r="118">
      <x:c r="A118" s="8" t="n">
        <x:v>45758</x:v>
      </x:c>
      <x:c r="B118" s="3" t="inlineStr">
        <x:is>
          <x:t xml:space="preserve">Plano Master</x:t>
        </x:is>
      </x:c>
      <x:c r="C118" s="3" t="inlineStr">
        <x:is>
          <x:t xml:space="preserve">Espírito Santo</x:t>
        </x:is>
      </x:c>
      <x:c r="D118" s="9" t="n">
        <x:v>399.9</x:v>
      </x:c>
      <x:c r="E118" s="5" t="n">
        <x:v>2</x:v>
      </x:c>
      <x:c r="F118" s="9">
        <x:f>ROUND(D118*E118,2)</x:f>
        <x:v>799.8</x:v>
      </x:c>
      <x:c r="G118" s="9" t="n">
        <x:v>63.98</x:v>
      </x:c>
      <x:c r="H118" s="9">
        <x:f>ROUND(F118-G118,2)</x:f>
        <x:v>735.82</x:v>
      </x:c>
      <x:c r="I118" s="3" t="inlineStr">
        <x:is>
          <x:t xml:space="preserve">Carlos Eduardo Dias</x:t>
        </x:is>
      </x:c>
      <x:c r="J118" s="3" t="inlineStr">
        <x:is>
          <x:t xml:space="preserve">Marcos Vinícius</x:t>
        </x:is>
      </x:c>
      <x:c r="K118" s="3" t="str">
        <x:f>IF(B118="Plano Básico","Consulta e internação",IF(B118="Plano Médio","Consulta, emergência e internação","Consulta, emergência, internação e odontologia"))</x:f>
        <x:v>Consulta, emergência, internação e odontologia</x:v>
      </x:c>
    </x:row>
    <x:row r="119">
      <x:c r="A119" s="8" t="n">
        <x:v>45758</x:v>
      </x:c>
      <x:c r="B119" s="3" t="inlineStr">
        <x:is>
          <x:t xml:space="preserve">Plano Médio</x:t>
        </x:is>
      </x:c>
      <x:c r="C119" s="3" t="inlineStr">
        <x:is>
          <x:t xml:space="preserve">Pernambuco</x:t>
        </x:is>
      </x:c>
      <x:c r="D119" s="9" t="n">
        <x:v>249.9</x:v>
      </x:c>
      <x:c r="E119" s="5" t="n">
        <x:v>2</x:v>
      </x:c>
      <x:c r="F119" s="9">
        <x:f>ROUND(D119*E119,2)</x:f>
        <x:v>499.8</x:v>
      </x:c>
      <x:c r="G119" s="9" t="n">
        <x:v>14.99</x:v>
      </x:c>
      <x:c r="H119" s="9">
        <x:f>ROUND(F119-G119,2)</x:f>
        <x:v>484.81</x:v>
      </x:c>
      <x:c r="I119" s="3" t="inlineStr">
        <x:is>
          <x:t xml:space="preserve">Adriana Moraes</x:t>
        </x:is>
      </x:c>
      <x:c r="J119" s="3" t="inlineStr">
        <x:is>
          <x:t xml:space="preserve">Guilherme Araújo</x:t>
        </x:is>
      </x:c>
      <x:c r="K119" s="3" t="str">
        <x:f>IF(B119="Plano Básico","Consulta e internação",IF(B119="Plano Médio","Consulta, emergência e internação","Consulta, emergência, internação e odontologia"))</x:f>
        <x:v>Consulta, emergência e internação</x:v>
      </x:c>
    </x:row>
    <x:row r="120">
      <x:c r="A120" s="8" t="n">
        <x:v>45763</x:v>
      </x:c>
      <x:c r="B120" s="3" t="inlineStr">
        <x:is>
          <x:t xml:space="preserve">Plano Master</x:t>
        </x:is>
      </x:c>
      <x:c r="C120" s="3" t="inlineStr">
        <x:is>
          <x:t xml:space="preserve">Rio Grande do Sul</x:t>
        </x:is>
      </x:c>
      <x:c r="D120" s="9" t="n">
        <x:v>399.9</x:v>
      </x:c>
      <x:c r="E120" s="5" t="n">
        <x:v>3</x:v>
      </x:c>
      <x:c r="F120" s="9">
        <x:f>ROUND(D120*E120,2)</x:f>
        <x:v>1199.7</x:v>
      </x:c>
      <x:c r="G120" s="9" t="n">
        <x:v>0</x:v>
      </x:c>
      <x:c r="H120" s="9">
        <x:f>ROUND(F120-G120,2)</x:f>
        <x:v>1199.7</x:v>
      </x:c>
      <x:c r="I120" s="3" t="inlineStr">
        <x:is>
          <x:t xml:space="preserve">Felipe Rocha</x:t>
        </x:is>
      </x:c>
      <x:c r="J120" s="3" t="inlineStr">
        <x:is>
          <x:t xml:space="preserve">Marcos Vinícius</x:t>
        </x:is>
      </x:c>
      <x:c r="K120" s="3" t="str">
        <x:f>IF(B120="Plano Básico","Consulta e internação",IF(B120="Plano Médio","Consulta, emergência e internação","Consulta, emergência, internação e odontologia"))</x:f>
        <x:v>Consulta, emergência, internação e odontologia</x:v>
      </x:c>
    </x:row>
    <x:row r="121">
      <x:c r="A121" s="8" t="n">
        <x:v>45769</x:v>
      </x:c>
      <x:c r="B121" s="3" t="inlineStr">
        <x:is>
          <x:t xml:space="preserve">Plano Médio</x:t>
        </x:is>
      </x:c>
      <x:c r="C121" s="3" t="inlineStr">
        <x:is>
          <x:t xml:space="preserve">Santa Catarina</x:t>
        </x:is>
      </x:c>
      <x:c r="D121" s="9" t="n">
        <x:v>249.9</x:v>
      </x:c>
      <x:c r="E121" s="5" t="n">
        <x:v>2</x:v>
      </x:c>
      <x:c r="F121" s="9">
        <x:f>ROUND(D121*E121,2)</x:f>
        <x:v>499.8</x:v>
      </x:c>
      <x:c r="G121" s="9" t="n">
        <x:v>14.99</x:v>
      </x:c>
      <x:c r="H121" s="9">
        <x:f>ROUND(F121-G121,2)</x:f>
        <x:v>484.81</x:v>
      </x:c>
      <x:c r="I121" s="3" t="inlineStr">
        <x:is>
          <x:t xml:space="preserve">Murilo Antunes</x:t>
        </x:is>
      </x:c>
      <x:c r="J121" s="3" t="inlineStr">
        <x:is>
          <x:t xml:space="preserve">Diego Nascimento</x:t>
        </x:is>
      </x:c>
      <x:c r="K121" s="3" t="str">
        <x:f>IF(B121="Plano Básico","Consulta e internação",IF(B121="Plano Médio","Consulta, emergência e internação","Consulta, emergência, internação e odontologia"))</x:f>
        <x:v>Consulta, emergência e internação</x:v>
      </x:c>
    </x:row>
    <x:row r="122">
      <x:c r="A122" s="8" t="n">
        <x:v>45771</x:v>
      </x:c>
      <x:c r="B122" s="3" t="inlineStr">
        <x:is>
          <x:t xml:space="preserve">Plano Médio</x:t>
        </x:is>
      </x:c>
      <x:c r="C122" s="3" t="inlineStr">
        <x:is>
          <x:t xml:space="preserve">São Paulo</x:t>
        </x:is>
      </x:c>
      <x:c r="D122" s="9" t="n">
        <x:v>249.9</x:v>
      </x:c>
      <x:c r="E122" s="5" t="n">
        <x:v>1</x:v>
      </x:c>
      <x:c r="F122" s="9">
        <x:f>ROUND(D122*E122,2)</x:f>
        <x:v>249.9</x:v>
      </x:c>
      <x:c r="G122" s="9" t="n">
        <x:v>0</x:v>
      </x:c>
      <x:c r="H122" s="9">
        <x:f>ROUND(F122-G122,2)</x:f>
        <x:v>249.9</x:v>
      </x:c>
      <x:c r="I122" s="3" t="inlineStr">
        <x:is>
          <x:t xml:space="preserve">Bianca Duarte</x:t>
        </x:is>
      </x:c>
      <x:c r="J122" s="3" t="inlineStr">
        <x:is>
          <x:t xml:space="preserve">Guilherme Araújo</x:t>
        </x:is>
      </x:c>
      <x:c r="K122" s="3" t="str">
        <x:f>IF(B122="Plano Básico","Consulta e internação",IF(B122="Plano Médio","Consulta, emergência e internação","Consulta, emergência, internação e odontologia"))</x:f>
        <x:v>Consulta, emergência e internação</x:v>
      </x:c>
    </x:row>
    <x:row r="123">
      <x:c r="A123" s="8" t="n">
        <x:v>45772</x:v>
      </x:c>
      <x:c r="B123" s="3" t="inlineStr">
        <x:is>
          <x:t xml:space="preserve">Plano Básico</x:t>
        </x:is>
      </x:c>
      <x:c r="C123" s="3" t="inlineStr">
        <x:is>
          <x:t xml:space="preserve">Goiás</x:t>
        </x:is>
      </x:c>
      <x:c r="D123" s="9" t="n">
        <x:v>149.9</x:v>
      </x:c>
      <x:c r="E123" s="5" t="n">
        <x:v>3</x:v>
      </x:c>
      <x:c r="F123" s="9">
        <x:f>ROUND(D123*E123,2)</x:f>
        <x:v>449.7</x:v>
      </x:c>
      <x:c r="G123" s="9" t="n">
        <x:v>13.49</x:v>
      </x:c>
      <x:c r="H123" s="9">
        <x:f>ROUND(F123-G123,2)</x:f>
        <x:v>436.21</x:v>
      </x:c>
      <x:c r="I123" s="3" t="inlineStr">
        <x:is>
          <x:t xml:space="preserve">Priscila Matos</x:t>
        </x:is>
      </x:c>
      <x:c r="J123" s="3" t="inlineStr">
        <x:is>
          <x:t xml:space="preserve">Amanda Lopes</x:t>
        </x:is>
      </x:c>
      <x:c r="K123" s="3" t="str">
        <x:f>IF(B123="Plano Básico","Consulta e internação",IF(B123="Plano Médio","Consulta, emergência e internação","Consulta, emergência, internação e odontologia"))</x:f>
        <x:v>Consulta e internação</x:v>
      </x:c>
    </x:row>
    <x:row r="124">
      <x:c r="A124" s="8" t="n">
        <x:v>45772</x:v>
      </x:c>
      <x:c r="B124" s="3" t="inlineStr">
        <x:is>
          <x:t xml:space="preserve">Plano Master</x:t>
        </x:is>
      </x:c>
      <x:c r="C124" s="3" t="inlineStr">
        <x:is>
          <x:t xml:space="preserve">Bahia</x:t>
        </x:is>
      </x:c>
      <x:c r="D124" s="9" t="n">
        <x:v>399.9</x:v>
      </x:c>
      <x:c r="E124" s="5" t="n">
        <x:v>1</x:v>
      </x:c>
      <x:c r="F124" s="9">
        <x:f>ROUND(D124*E124,2)</x:f>
        <x:v>399.9</x:v>
      </x:c>
      <x:c r="G124" s="9" t="n">
        <x:v>0</x:v>
      </x:c>
      <x:c r="H124" s="9">
        <x:f>ROUND(F124-G124,2)</x:f>
        <x:v>399.9</x:v>
      </x:c>
      <x:c r="I124" s="3" t="inlineStr">
        <x:is>
          <x:t xml:space="preserve">Priscila Matos</x:t>
        </x:is>
      </x:c>
      <x:c r="J124" s="3" t="inlineStr">
        <x:is>
          <x:t xml:space="preserve">Juliana Martins</x:t>
        </x:is>
      </x:c>
      <x:c r="K124" s="3" t="str">
        <x:f>IF(B124="Plano Básico","Consulta e internação",IF(B124="Plano Médio","Consulta, emergência e internação","Consulta, emergência, internação e odontologia"))</x:f>
        <x:v>Consulta, emergência, internação e odontologia</x:v>
      </x:c>
    </x:row>
    <x:row r="125">
      <x:c r="A125" s="8" t="n">
        <x:v>45779</x:v>
      </x:c>
      <x:c r="B125" s="3" t="inlineStr">
        <x:is>
          <x:t xml:space="preserve">Plano Básico</x:t>
        </x:is>
      </x:c>
      <x:c r="C125" s="3" t="inlineStr">
        <x:is>
          <x:t xml:space="preserve">Paraná</x:t>
        </x:is>
      </x:c>
      <x:c r="D125" s="9" t="n">
        <x:v>149.9</x:v>
      </x:c>
      <x:c r="E125" s="5" t="n">
        <x:v>3</x:v>
      </x:c>
      <x:c r="F125" s="9">
        <x:f>ROUND(D125*E125,2)</x:f>
        <x:v>449.7</x:v>
      </x:c>
      <x:c r="G125" s="9" t="n">
        <x:v>0</x:v>
      </x:c>
      <x:c r="H125" s="9">
        <x:f>ROUND(F125-G125,2)</x:f>
        <x:v>449.7</x:v>
      </x:c>
      <x:c r="I125" s="3" t="inlineStr">
        <x:is>
          <x:t xml:space="preserve">Juliana Cunha</x:t>
        </x:is>
      </x:c>
      <x:c r="J125" s="3" t="inlineStr">
        <x:is>
          <x:t xml:space="preserve">Patrícia Silva</x:t>
        </x:is>
      </x:c>
      <x:c r="K125" s="3" t="str">
        <x:f>IF(B125="Plano Básico","Consulta e internação",IF(B125="Plano Médio","Consulta, emergência e internação","Consulta, emergência, internação e odontologia"))</x:f>
        <x:v>Consulta e internação</x:v>
      </x:c>
    </x:row>
    <x:row r="126">
      <x:c r="A126" s="8" t="n">
        <x:v>45791</x:v>
      </x:c>
      <x:c r="B126" s="3" t="inlineStr">
        <x:is>
          <x:t xml:space="preserve">Plano Médio</x:t>
        </x:is>
      </x:c>
      <x:c r="C126" s="3" t="inlineStr">
        <x:is>
          <x:t xml:space="preserve">Paraná</x:t>
        </x:is>
      </x:c>
      <x:c r="D126" s="9" t="n">
        <x:v>249.9</x:v>
      </x:c>
      <x:c r="E126" s="5" t="n">
        <x:v>1</x:v>
      </x:c>
      <x:c r="F126" s="9">
        <x:f>ROUND(D126*E126,2)</x:f>
        <x:v>249.9</x:v>
      </x:c>
      <x:c r="G126" s="9" t="n">
        <x:v>0</x:v>
      </x:c>
      <x:c r="H126" s="9">
        <x:f>ROUND(F126-G126,2)</x:f>
        <x:v>249.9</x:v>
      </x:c>
      <x:c r="I126" s="3" t="inlineStr">
        <x:is>
          <x:t xml:space="preserve">Nathan Barros</x:t>
        </x:is>
      </x:c>
      <x:c r="J126" s="3" t="inlineStr">
        <x:is>
          <x:t xml:space="preserve">Amanda Lopes</x:t>
        </x:is>
      </x:c>
      <x:c r="K126" s="3" t="str">
        <x:f>IF(B126="Plano Básico","Consulta e internação",IF(B126="Plano Médio","Consulta, emergência e internação","Consulta, emergência, internação e odontologia"))</x:f>
        <x:v>Consulta, emergência e internação</x:v>
      </x:c>
    </x:row>
    <x:row r="127">
      <x:c r="A127" s="8" t="n">
        <x:v>45796</x:v>
      </x:c>
      <x:c r="B127" s="3" t="inlineStr">
        <x:is>
          <x:t xml:space="preserve">Plano Médio</x:t>
        </x:is>
      </x:c>
      <x:c r="C127" s="3" t="inlineStr">
        <x:is>
          <x:t xml:space="preserve">Santa Catarina</x:t>
        </x:is>
      </x:c>
      <x:c r="D127" s="9" t="n">
        <x:v>249.9</x:v>
      </x:c>
      <x:c r="E127" s="5" t="n">
        <x:v>1</x:v>
      </x:c>
      <x:c r="F127" s="9">
        <x:f>ROUND(D127*E127,2)</x:f>
        <x:v>249.9</x:v>
      </x:c>
      <x:c r="G127" s="9" t="n">
        <x:v>24.99</x:v>
      </x:c>
      <x:c r="H127" s="9">
        <x:f>ROUND(F127-G127,2)</x:f>
        <x:v>224.91</x:v>
      </x:c>
      <x:c r="I127" s="3" t="inlineStr">
        <x:is>
          <x:t xml:space="preserve">Caio Rezende</x:t>
        </x:is>
      </x:c>
      <x:c r="J127" s="3" t="inlineStr">
        <x:is>
          <x:t xml:space="preserve">Guilherme Araújo</x:t>
        </x:is>
      </x:c>
      <x:c r="K127" s="3" t="str">
        <x:f>IF(B127="Plano Básico","Consulta e internação",IF(B127="Plano Médio","Consulta, emergência e internação","Consulta, emergência, internação e odontologia"))</x:f>
        <x:v>Consulta, emergência e internação</x:v>
      </x:c>
    </x:row>
    <x:row r="128">
      <x:c r="A128" s="8" t="n">
        <x:v>45801</x:v>
      </x:c>
      <x:c r="B128" s="3" t="inlineStr">
        <x:is>
          <x:t xml:space="preserve">Plano Master</x:t>
        </x:is>
      </x:c>
      <x:c r="C128" s="3" t="inlineStr">
        <x:is>
          <x:t xml:space="preserve">Pernambuco</x:t>
        </x:is>
      </x:c>
      <x:c r="D128" s="9" t="n">
        <x:v>399.9</x:v>
      </x:c>
      <x:c r="E128" s="5" t="n">
        <x:v>2</x:v>
      </x:c>
      <x:c r="F128" s="9">
        <x:f>ROUND(D128*E128,2)</x:f>
        <x:v>799.8</x:v>
      </x:c>
      <x:c r="G128" s="9" t="n">
        <x:v>0</x:v>
      </x:c>
      <x:c r="H128" s="9">
        <x:f>ROUND(F128-G128,2)</x:f>
        <x:v>799.8</x:v>
      </x:c>
      <x:c r="I128" s="3" t="inlineStr">
        <x:is>
          <x:t xml:space="preserve">Igor Macedo</x:t>
        </x:is>
      </x:c>
      <x:c r="J128" s="3" t="inlineStr">
        <x:is>
          <x:t xml:space="preserve">Guilherme Araújo</x:t>
        </x:is>
      </x:c>
      <x:c r="K128" s="3" t="str">
        <x:f>IF(B128="Plano Básico","Consulta e internação",IF(B128="Plano Médio","Consulta, emergência e internação","Consulta, emergência, internação e odontologia"))</x:f>
        <x:v>Consulta, emergência, internação e odontologia</x:v>
      </x:c>
    </x:row>
    <x:row r="129">
      <x:c r="A129" s="8" t="n">
        <x:v>45810</x:v>
      </x:c>
      <x:c r="B129" s="3" t="inlineStr">
        <x:is>
          <x:t xml:space="preserve">Plano Básico</x:t>
        </x:is>
      </x:c>
      <x:c r="C129" s="3" t="inlineStr">
        <x:is>
          <x:t xml:space="preserve">Goiás</x:t>
        </x:is>
      </x:c>
      <x:c r="D129" s="9" t="n">
        <x:v>149.9</x:v>
      </x:c>
      <x:c r="E129" s="5" t="n">
        <x:v>4</x:v>
      </x:c>
      <x:c r="F129" s="9">
        <x:f>ROUND(D129*E129,2)</x:f>
        <x:v>599.6</x:v>
      </x:c>
      <x:c r="G129" s="9" t="n">
        <x:v>0</x:v>
      </x:c>
      <x:c r="H129" s="9">
        <x:f>ROUND(F129-G129,2)</x:f>
        <x:v>599.6</x:v>
      </x:c>
      <x:c r="I129" s="3" t="inlineStr">
        <x:is>
          <x:t xml:space="preserve">Mariana Alves</x:t>
        </x:is>
      </x:c>
      <x:c r="J129" s="3" t="inlineStr">
        <x:is>
          <x:t xml:space="preserve">Marcos Vinícius</x:t>
        </x:is>
      </x:c>
      <x:c r="K129" s="3" t="str">
        <x:f>IF(B129="Plano Básico","Consulta e internação",IF(B129="Plano Médio","Consulta, emergência e internação","Consulta, emergência, internação e odontologia"))</x:f>
        <x:v>Consulta e internação</x:v>
      </x:c>
    </x:row>
    <x:row r="130">
      <x:c r="A130" s="8" t="n">
        <x:v>45816</x:v>
      </x:c>
      <x:c r="B130" s="3" t="inlineStr">
        <x:is>
          <x:t xml:space="preserve">Plano Médio</x:t>
        </x:is>
      </x:c>
      <x:c r="C130" s="3" t="inlineStr">
        <x:is>
          <x:t xml:space="preserve">Ceará</x:t>
        </x:is>
      </x:c>
      <x:c r="D130" s="9" t="n">
        <x:v>249.9</x:v>
      </x:c>
      <x:c r="E130" s="5" t="n">
        <x:v>3</x:v>
      </x:c>
      <x:c r="F130" s="9">
        <x:f>ROUND(D130*E130,2)</x:f>
        <x:v>749.7</x:v>
      </x:c>
      <x:c r="G130" s="9" t="n">
        <x:v>0</x:v>
      </x:c>
      <x:c r="H130" s="9">
        <x:f>ROUND(F130-G130,2)</x:f>
        <x:v>749.7</x:v>
      </x:c>
      <x:c r="I130" s="3" t="inlineStr">
        <x:is>
          <x:t xml:space="preserve">Felipe Rocha</x:t>
        </x:is>
      </x:c>
      <x:c r="J130" s="3" t="inlineStr">
        <x:is>
          <x:t xml:space="preserve">Fernanda Souza</x:t>
        </x:is>
      </x:c>
      <x:c r="K130" s="3" t="str">
        <x:f>IF(B130="Plano Básico","Consulta e internação",IF(B130="Plano Médio","Consulta, emergência e internação","Consulta, emergência, internação e odontologia"))</x:f>
        <x:v>Consulta, emergência e internação</x:v>
      </x:c>
    </x:row>
    <x:row r="131">
      <x:c r="A131" s="8" t="n">
        <x:v>45836</x:v>
      </x:c>
      <x:c r="B131" s="3" t="inlineStr">
        <x:is>
          <x:t xml:space="preserve">Plano Médio</x:t>
        </x:is>
      </x:c>
      <x:c r="C131" s="3" t="inlineStr">
        <x:is>
          <x:t xml:space="preserve">Goiás</x:t>
        </x:is>
      </x:c>
      <x:c r="D131" s="9" t="n">
        <x:v>249.9</x:v>
      </x:c>
      <x:c r="E131" s="5" t="n">
        <x:v>1</x:v>
      </x:c>
      <x:c r="F131" s="9">
        <x:f>ROUND(D131*E131,2)</x:f>
        <x:v>249.9</x:v>
      </x:c>
      <x:c r="G131" s="9" t="n">
        <x:v>0</x:v>
      </x:c>
      <x:c r="H131" s="9">
        <x:f>ROUND(F131-G131,2)</x:f>
        <x:v>249.9</x:v>
      </x:c>
      <x:c r="I131" s="3" t="inlineStr">
        <x:is>
          <x:t xml:space="preserve">Felipe Rocha</x:t>
        </x:is>
      </x:c>
      <x:c r="J131" s="3" t="inlineStr">
        <x:is>
          <x:t xml:space="preserve">Carlos Lima</x:t>
        </x:is>
      </x:c>
      <x:c r="K131" s="3" t="str">
        <x:f>IF(B131="Plano Básico","Consulta e internação",IF(B131="Plano Médio","Consulta, emergência e internação","Consulta, emergência, internação e odontologia"))</x:f>
        <x:v>Consulta, emergência e internação</x:v>
      </x:c>
    </x:row>
    <x:row r="132">
      <x:c r="A132" s="8" t="n">
        <x:v>45839</x:v>
      </x:c>
      <x:c r="B132" s="3" t="inlineStr">
        <x:is>
          <x:t xml:space="preserve">Plano Master</x:t>
        </x:is>
      </x:c>
      <x:c r="C132" s="3" t="inlineStr">
        <x:is>
          <x:t xml:space="preserve">Pernambuco</x:t>
        </x:is>
      </x:c>
      <x:c r="D132" s="9" t="n">
        <x:v>399.9</x:v>
      </x:c>
      <x:c r="E132" s="5" t="n">
        <x:v>1</x:v>
      </x:c>
      <x:c r="F132" s="9">
        <x:f>ROUND(D132*E132,2)</x:f>
        <x:v>399.9</x:v>
      </x:c>
      <x:c r="G132" s="9" t="n">
        <x:v>31.99</x:v>
      </x:c>
      <x:c r="H132" s="9">
        <x:f>ROUND(F132-G132,2)</x:f>
        <x:v>367.91</x:v>
      </x:c>
      <x:c r="I132" s="3" t="inlineStr">
        <x:is>
          <x:t xml:space="preserve">Marcelo Freitas</x:t>
        </x:is>
      </x:c>
      <x:c r="J132" s="3" t="inlineStr">
        <x:is>
          <x:t xml:space="preserve">Amanda Lopes</x:t>
        </x:is>
      </x:c>
      <x:c r="K132" s="3" t="str">
        <x:f>IF(B132="Plano Básico","Consulta e internação",IF(B132="Plano Médio","Consulta, emergência e internação","Consulta, emergência, internação e odontologia"))</x:f>
        <x:v>Consulta, emergência, internação e odontologia</x:v>
      </x:c>
    </x:row>
    <x:row r="133">
      <x:c r="A133" s="8" t="n">
        <x:v>45839</x:v>
      </x:c>
      <x:c r="B133" s="3" t="inlineStr">
        <x:is>
          <x:t xml:space="preserve">Plano Master</x:t>
        </x:is>
      </x:c>
      <x:c r="C133" s="3" t="inlineStr">
        <x:is>
          <x:t xml:space="preserve">Ceará</x:t>
        </x:is>
      </x:c>
      <x:c r="D133" s="9" t="n">
        <x:v>399.9</x:v>
      </x:c>
      <x:c r="E133" s="5" t="n">
        <x:v>2</x:v>
      </x:c>
      <x:c r="F133" s="9">
        <x:f>ROUND(D133*E133,2)</x:f>
        <x:v>799.8</x:v>
      </x:c>
      <x:c r="G133" s="9" t="n">
        <x:v>39.99</x:v>
      </x:c>
      <x:c r="H133" s="9">
        <x:f>ROUND(F133-G133,2)</x:f>
        <x:v>759.81</x:v>
      </x:c>
      <x:c r="I133" s="3" t="inlineStr">
        <x:is>
          <x:t xml:space="preserve">Aline Queiroz</x:t>
        </x:is>
      </x:c>
      <x:c r="J133" s="3" t="inlineStr">
        <x:is>
          <x:t xml:space="preserve">Larissa Rocha</x:t>
        </x:is>
      </x:c>
      <x:c r="K133" s="3" t="str">
        <x:f>IF(B133="Plano Básico","Consulta e internação",IF(B133="Plano Médio","Consulta, emergência e internação","Consulta, emergência, internação e odontologia"))</x:f>
        <x:v>Consulta, emergência, internação e odontologia</x:v>
      </x:c>
    </x:row>
    <x:row r="134">
      <x:c r="A134" s="8" t="n">
        <x:v>45842</x:v>
      </x:c>
      <x:c r="B134" s="3" t="inlineStr">
        <x:is>
          <x:t xml:space="preserve">Plano Médio</x:t>
        </x:is>
      </x:c>
      <x:c r="C134" s="3" t="inlineStr">
        <x:is>
          <x:t xml:space="preserve">Rio de Janeiro</x:t>
        </x:is>
      </x:c>
      <x:c r="D134" s="9" t="n">
        <x:v>249.9</x:v>
      </x:c>
      <x:c r="E134" s="5" t="n">
        <x:v>2</x:v>
      </x:c>
      <x:c r="F134" s="9">
        <x:f>ROUND(D134*E134,2)</x:f>
        <x:v>499.8</x:v>
      </x:c>
      <x:c r="G134" s="9" t="n">
        <x:v>0</x:v>
      </x:c>
      <x:c r="H134" s="9">
        <x:f>ROUND(F134-G134,2)</x:f>
        <x:v>499.8</x:v>
      </x:c>
      <x:c r="I134" s="3" t="inlineStr">
        <x:is>
          <x:t xml:space="preserve">Rodrigo Sales</x:t>
        </x:is>
      </x:c>
      <x:c r="J134" s="3" t="inlineStr">
        <x:is>
          <x:t xml:space="preserve">Fernanda Souza</x:t>
        </x:is>
      </x:c>
      <x:c r="K134" s="3" t="str">
        <x:f>IF(B134="Plano Básico","Consulta e internação",IF(B134="Plano Médio","Consulta, emergência e internação","Consulta, emergência, internação e odontologia"))</x:f>
        <x:v>Consulta, emergência e internação</x:v>
      </x:c>
    </x:row>
    <x:row r="135">
      <x:c r="A135" s="8" t="n">
        <x:v>45844</x:v>
      </x:c>
      <x:c r="B135" s="3" t="inlineStr">
        <x:is>
          <x:t xml:space="preserve">Plano Médio</x:t>
        </x:is>
      </x:c>
      <x:c r="C135" s="3" t="inlineStr">
        <x:is>
          <x:t xml:space="preserve">Pernambuco</x:t>
        </x:is>
      </x:c>
      <x:c r="D135" s="9" t="n">
        <x:v>249.9</x:v>
      </x:c>
      <x:c r="E135" s="5" t="n">
        <x:v>2</x:v>
      </x:c>
      <x:c r="F135" s="9">
        <x:f>ROUND(D135*E135,2)</x:f>
        <x:v>499.8</x:v>
      </x:c>
      <x:c r="G135" s="9" t="n">
        <x:v>39.98</x:v>
      </x:c>
      <x:c r="H135" s="9">
        <x:f>ROUND(F135-G135,2)</x:f>
        <x:v>459.82</x:v>
      </x:c>
      <x:c r="I135" s="3" t="inlineStr">
        <x:is>
          <x:t xml:space="preserve">Bianca Duarte</x:t>
        </x:is>
      </x:c>
      <x:c r="J135" s="3" t="inlineStr">
        <x:is>
          <x:t xml:space="preserve">Guilherme Araújo</x:t>
        </x:is>
      </x:c>
      <x:c r="K135" s="3" t="str">
        <x:f>IF(B135="Plano Básico","Consulta e internação",IF(B135="Plano Médio","Consulta, emergência e internação","Consulta, emergência, internação e odontologia"))</x:f>
        <x:v>Consulta, emergência e internação</x:v>
      </x:c>
    </x:row>
    <x:row r="136">
      <x:c r="A136" s="8" t="n">
        <x:v>45848</x:v>
      </x:c>
      <x:c r="B136" s="3" t="inlineStr">
        <x:is>
          <x:t xml:space="preserve">Plano Médio</x:t>
        </x:is>
      </x:c>
      <x:c r="C136" s="3" t="inlineStr">
        <x:is>
          <x:t xml:space="preserve">São Paulo</x:t>
        </x:is>
      </x:c>
      <x:c r="D136" s="9" t="n">
        <x:v>249.9</x:v>
      </x:c>
      <x:c r="E136" s="5" t="n">
        <x:v>1</x:v>
      </x:c>
      <x:c r="F136" s="9">
        <x:f>ROUND(D136*E136,2)</x:f>
        <x:v>249.9</x:v>
      </x:c>
      <x:c r="G136" s="9" t="n">
        <x:v>12.5</x:v>
      </x:c>
      <x:c r="H136" s="9">
        <x:f>ROUND(F136-G136,2)</x:f>
        <x:v>237.4</x:v>
      </x:c>
      <x:c r="I136" s="3" t="inlineStr">
        <x:is>
          <x:t xml:space="preserve">Daniel Martins</x:t>
        </x:is>
      </x:c>
      <x:c r="J136" s="3" t="inlineStr">
        <x:is>
          <x:t xml:space="preserve">Patrícia Silva</x:t>
        </x:is>
      </x:c>
      <x:c r="K136" s="3" t="str">
        <x:f>IF(B136="Plano Básico","Consulta e internação",IF(B136="Plano Médio","Consulta, emergência e internação","Consulta, emergência, internação e odontologia"))</x:f>
        <x:v>Consulta, emergência e internação</x:v>
      </x:c>
    </x:row>
    <x:row r="137">
      <x:c r="A137" s="8" t="n">
        <x:v>45849</x:v>
      </x:c>
      <x:c r="B137" s="3" t="inlineStr">
        <x:is>
          <x:t xml:space="preserve">Plano Básico</x:t>
        </x:is>
      </x:c>
      <x:c r="C137" s="3" t="inlineStr">
        <x:is>
          <x:t xml:space="preserve">Ceará</x:t>
        </x:is>
      </x:c>
      <x:c r="D137" s="9" t="n">
        <x:v>149.9</x:v>
      </x:c>
      <x:c r="E137" s="5" t="n">
        <x:v>2</x:v>
      </x:c>
      <x:c r="F137" s="9">
        <x:f>ROUND(D137*E137,2)</x:f>
        <x:v>299.8</x:v>
      </x:c>
      <x:c r="G137" s="9" t="n">
        <x:v>0</x:v>
      </x:c>
      <x:c r="H137" s="9">
        <x:f>ROUND(F137-G137,2)</x:f>
        <x:v>299.8</x:v>
      </x:c>
      <x:c r="I137" s="3" t="inlineStr">
        <x:is>
          <x:t xml:space="preserve">Jéssica Barbalho</x:t>
        </x:is>
      </x:c>
      <x:c r="J137" s="3" t="inlineStr">
        <x:is>
          <x:t xml:space="preserve">Marcos Vinícius</x:t>
        </x:is>
      </x:c>
      <x:c r="K137" s="3" t="str">
        <x:f>IF(B137="Plano Básico","Consulta e internação",IF(B137="Plano Médio","Consulta, emergência e internação","Consulta, emergência, internação e odontologia"))</x:f>
        <x:v>Consulta e internação</x:v>
      </x:c>
    </x:row>
    <x:row r="138">
      <x:c r="A138" s="8" t="n">
        <x:v>45851</x:v>
      </x:c>
      <x:c r="B138" s="3" t="inlineStr">
        <x:is>
          <x:t xml:space="preserve">Plano Médio</x:t>
        </x:is>
      </x:c>
      <x:c r="C138" s="3" t="inlineStr">
        <x:is>
          <x:t xml:space="preserve">São Paulo</x:t>
        </x:is>
      </x:c>
      <x:c r="D138" s="9" t="n">
        <x:v>249.9</x:v>
      </x:c>
      <x:c r="E138" s="5" t="n">
        <x:v>1</x:v>
      </x:c>
      <x:c r="F138" s="9">
        <x:f>ROUND(D138*E138,2)</x:f>
        <x:v>249.9</x:v>
      </x:c>
      <x:c r="G138" s="9" t="n">
        <x:v>19.99</x:v>
      </x:c>
      <x:c r="H138" s="9">
        <x:f>ROUND(F138-G138,2)</x:f>
        <x:v>229.91</x:v>
      </x:c>
      <x:c r="I138" s="3" t="inlineStr">
        <x:is>
          <x:t xml:space="preserve">Bruno Almeida</x:t>
        </x:is>
      </x:c>
      <x:c r="J138" s="3" t="inlineStr">
        <x:is>
          <x:t xml:space="preserve">Beatriz Gonçalves</x:t>
        </x:is>
      </x:c>
      <x:c r="K138" s="3" t="str">
        <x:f>IF(B138="Plano Básico","Consulta e internação",IF(B138="Plano Médio","Consulta, emergência e internação","Consulta, emergência, internação e odontologia"))</x:f>
        <x:v>Consulta, emergência e internação</x:v>
      </x:c>
    </x:row>
    <x:row r="139">
      <x:c r="A139" s="8" t="n">
        <x:v>45854</x:v>
      </x:c>
      <x:c r="B139" s="3" t="inlineStr">
        <x:is>
          <x:t xml:space="preserve">Plano Médio</x:t>
        </x:is>
      </x:c>
      <x:c r="C139" s="3" t="inlineStr">
        <x:is>
          <x:t xml:space="preserve">Espírito Santo</x:t>
        </x:is>
      </x:c>
      <x:c r="D139" s="9" t="n">
        <x:v>249.9</x:v>
      </x:c>
      <x:c r="E139" s="5" t="n">
        <x:v>3</x:v>
      </x:c>
      <x:c r="F139" s="9">
        <x:f>ROUND(D139*E139,2)</x:f>
        <x:v>749.7</x:v>
      </x:c>
      <x:c r="G139" s="9" t="n">
        <x:v>0</x:v>
      </x:c>
      <x:c r="H139" s="9">
        <x:f>ROUND(F139-G139,2)</x:f>
        <x:v>749.7</x:v>
      </x:c>
      <x:c r="I139" s="3" t="inlineStr">
        <x:is>
          <x:t xml:space="preserve">Priscila Matos</x:t>
        </x:is>
      </x:c>
      <x:c r="J139" s="3" t="inlineStr">
        <x:is>
          <x:t xml:space="preserve">Larissa Rocha</x:t>
        </x:is>
      </x:c>
      <x:c r="K139" s="3" t="str">
        <x:f>IF(B139="Plano Básico","Consulta e internação",IF(B139="Plano Médio","Consulta, emergência e internação","Consulta, emergência, internação e odontologia"))</x:f>
        <x:v>Consulta, emergência e internação</x:v>
      </x:c>
    </x:row>
    <x:row r="140">
      <x:c r="A140" s="8" t="n">
        <x:v>45856</x:v>
      </x:c>
      <x:c r="B140" s="3" t="inlineStr">
        <x:is>
          <x:t xml:space="preserve">Plano Médio</x:t>
        </x:is>
      </x:c>
      <x:c r="C140" s="3" t="inlineStr">
        <x:is>
          <x:t xml:space="preserve">Ceará</x:t>
        </x:is>
      </x:c>
      <x:c r="D140" s="9" t="n">
        <x:v>249.9</x:v>
      </x:c>
      <x:c r="E140" s="5" t="n">
        <x:v>1</x:v>
      </x:c>
      <x:c r="F140" s="9">
        <x:f>ROUND(D140*E140,2)</x:f>
        <x:v>249.9</x:v>
      </x:c>
      <x:c r="G140" s="9" t="n">
        <x:v>0</x:v>
      </x:c>
      <x:c r="H140" s="9">
        <x:f>ROUND(F140-G140,2)</x:f>
        <x:v>249.9</x:v>
      </x:c>
      <x:c r="I140" s="3" t="inlineStr">
        <x:is>
          <x:t xml:space="preserve">Kleber Monteiro</x:t>
        </x:is>
      </x:c>
      <x:c r="J140" s="3" t="inlineStr">
        <x:is>
          <x:t xml:space="preserve">Amanda Lopes</x:t>
        </x:is>
      </x:c>
      <x:c r="K140" s="3" t="str">
        <x:f>IF(B140="Plano Básico","Consulta e internação",IF(B140="Plano Médio","Consulta, emergência e internação","Consulta, emergência, internação e odontologia"))</x:f>
        <x:v>Consulta, emergência e internação</x:v>
      </x:c>
    </x:row>
    <x:row r="141">
      <x:c r="A141" s="8" t="n">
        <x:v>45856</x:v>
      </x:c>
      <x:c r="B141" s="3" t="inlineStr">
        <x:is>
          <x:t xml:space="preserve">Plano Médio</x:t>
        </x:is>
      </x:c>
      <x:c r="C141" s="3" t="inlineStr">
        <x:is>
          <x:t xml:space="preserve">Espírito Santo</x:t>
        </x:is>
      </x:c>
      <x:c r="D141" s="9" t="n">
        <x:v>249.9</x:v>
      </x:c>
      <x:c r="E141" s="5" t="n">
        <x:v>2</x:v>
      </x:c>
      <x:c r="F141" s="9">
        <x:f>ROUND(D141*E141,2)</x:f>
        <x:v>499.8</x:v>
      </x:c>
      <x:c r="G141" s="9" t="n">
        <x:v>24.99</x:v>
      </x:c>
      <x:c r="H141" s="9">
        <x:f>ROUND(F141-G141,2)</x:f>
        <x:v>474.81</x:v>
      </x:c>
      <x:c r="I141" s="3" t="inlineStr">
        <x:is>
          <x:t xml:space="preserve">Fábio Tavares</x:t>
        </x:is>
      </x:c>
      <x:c r="J141" s="3" t="inlineStr">
        <x:is>
          <x:t xml:space="preserve">Fernanda Souza</x:t>
        </x:is>
      </x:c>
      <x:c r="K141" s="3" t="str">
        <x:f>IF(B141="Plano Básico","Consulta e internação",IF(B141="Plano Médio","Consulta, emergência e internação","Consulta, emergência, internação e odontologia"))</x:f>
        <x:v>Consulta, emergência e internação</x:v>
      </x:c>
    </x:row>
    <x:row r="142">
      <x:c r="A142" s="8" t="n">
        <x:v>45863</x:v>
      </x:c>
      <x:c r="B142" s="3" t="inlineStr">
        <x:is>
          <x:t xml:space="preserve">Plano Médio</x:t>
        </x:is>
      </x:c>
      <x:c r="C142" s="3" t="inlineStr">
        <x:is>
          <x:t xml:space="preserve">Distrito Federal</x:t>
        </x:is>
      </x:c>
      <x:c r="D142" s="9" t="n">
        <x:v>249.9</x:v>
      </x:c>
      <x:c r="E142" s="5" t="n">
        <x:v>1</x:v>
      </x:c>
      <x:c r="F142" s="9">
        <x:f>ROUND(D142*E142,2)</x:f>
        <x:v>249.9</x:v>
      </x:c>
      <x:c r="G142" s="9" t="n">
        <x:v>0</x:v>
      </x:c>
      <x:c r="H142" s="9">
        <x:f>ROUND(F142-G142,2)</x:f>
        <x:v>249.9</x:v>
      </x:c>
      <x:c r="I142" s="3" t="inlineStr">
        <x:is>
          <x:t xml:space="preserve">Isabela Gomes</x:t>
        </x:is>
      </x:c>
      <x:c r="J142" s="3" t="inlineStr">
        <x:is>
          <x:t xml:space="preserve">Larissa Rocha</x:t>
        </x:is>
      </x:c>
      <x:c r="K142" s="3" t="str">
        <x:f>IF(B142="Plano Básico","Consulta e internação",IF(B142="Plano Médio","Consulta, emergência e internação","Consulta, emergência, internação e odontologia"))</x:f>
        <x:v>Consulta, emergência e internação</x:v>
      </x:c>
    </x:row>
    <x:row r="143">
      <x:c r="A143" s="8" t="n">
        <x:v>45863</x:v>
      </x:c>
      <x:c r="B143" s="3" t="inlineStr">
        <x:is>
          <x:t xml:space="preserve">Plano Master</x:t>
        </x:is>
      </x:c>
      <x:c r="C143" s="3" t="inlineStr">
        <x:is>
          <x:t xml:space="preserve">Rio Grande do Sul</x:t>
        </x:is>
      </x:c>
      <x:c r="D143" s="9" t="n">
        <x:v>399.9</x:v>
      </x:c>
      <x:c r="E143" s="5" t="n">
        <x:v>2</x:v>
      </x:c>
      <x:c r="F143" s="9">
        <x:f>ROUND(D143*E143,2)</x:f>
        <x:v>799.8</x:v>
      </x:c>
      <x:c r="G143" s="9" t="n">
        <x:v>0</x:v>
      </x:c>
      <x:c r="H143" s="9">
        <x:f>ROUND(F143-G143,2)</x:f>
        <x:v>799.8</x:v>
      </x:c>
      <x:c r="I143" s="3" t="inlineStr">
        <x:is>
          <x:t xml:space="preserve">Ana Beatriz Costa</x:t>
        </x:is>
      </x:c>
      <x:c r="J143" s="3" t="inlineStr">
        <x:is>
          <x:t xml:space="preserve">Fernanda Souza</x:t>
        </x:is>
      </x:c>
      <x:c r="K143" s="3" t="str">
        <x:f>IF(B143="Plano Básico","Consulta e internação",IF(B143="Plano Médio","Consulta, emergência e internação","Consulta, emergência, internação e odontologia"))</x:f>
        <x:v>Consulta, emergência, internação e odontologia</x:v>
      </x:c>
    </x:row>
    <x:row r="144">
      <x:c r="A144" s="8" t="n">
        <x:v>45865</x:v>
      </x:c>
      <x:c r="B144" s="3" t="inlineStr">
        <x:is>
          <x:t xml:space="preserve">Plano Médio</x:t>
        </x:is>
      </x:c>
      <x:c r="C144" s="3" t="inlineStr">
        <x:is>
          <x:t xml:space="preserve">Distrito Federal</x:t>
        </x:is>
      </x:c>
      <x:c r="D144" s="9" t="n">
        <x:v>249.9</x:v>
      </x:c>
      <x:c r="E144" s="5" t="n">
        <x:v>4</x:v>
      </x:c>
      <x:c r="F144" s="9">
        <x:f>ROUND(D144*E144,2)</x:f>
        <x:v>999.6</x:v>
      </x:c>
      <x:c r="G144" s="9" t="n">
        <x:v>49.98</x:v>
      </x:c>
      <x:c r="H144" s="9">
        <x:f>ROUND(F144-G144,2)</x:f>
        <x:v>949.62</x:v>
      </x:c>
      <x:c r="I144" s="3" t="inlineStr">
        <x:is>
          <x:t xml:space="preserve">Patrícia Neves</x:t>
        </x:is>
      </x:c>
      <x:c r="J144" s="3" t="inlineStr">
        <x:is>
          <x:t xml:space="preserve">Marcos Vinícius</x:t>
        </x:is>
      </x:c>
      <x:c r="K144" s="3" t="str">
        <x:f>IF(B144="Plano Básico","Consulta e internação",IF(B144="Plano Médio","Consulta, emergência e internação","Consulta, emergência, internação e odontologia"))</x:f>
        <x:v>Consulta, emergência e internação</x:v>
      </x:c>
    </x:row>
    <x:row r="145">
      <x:c r="A145" s="8" t="n">
        <x:v>45866</x:v>
      </x:c>
      <x:c r="B145" s="3" t="inlineStr">
        <x:is>
          <x:t xml:space="preserve">Plano Básico</x:t>
        </x:is>
      </x:c>
      <x:c r="C145" s="3" t="inlineStr">
        <x:is>
          <x:t xml:space="preserve">Bahia</x:t>
        </x:is>
      </x:c>
      <x:c r="D145" s="9" t="n">
        <x:v>149.9</x:v>
      </x:c>
      <x:c r="E145" s="5" t="n">
        <x:v>2</x:v>
      </x:c>
      <x:c r="F145" s="9">
        <x:f>ROUND(D145*E145,2)</x:f>
        <x:v>299.8</x:v>
      </x:c>
      <x:c r="G145" s="9" t="n">
        <x:v>0</x:v>
      </x:c>
      <x:c r="H145" s="9">
        <x:f>ROUND(F145-G145,2)</x:f>
        <x:v>299.8</x:v>
      </x:c>
      <x:c r="I145" s="3" t="inlineStr">
        <x:is>
          <x:t xml:space="preserve">Priscila Matos</x:t>
        </x:is>
      </x:c>
      <x:c r="J145" s="3" t="inlineStr">
        <x:is>
          <x:t xml:space="preserve">Carlos Lima</x:t>
        </x:is>
      </x:c>
      <x:c r="K145" s="3" t="str">
        <x:f>IF(B145="Plano Básico","Consulta e internação",IF(B145="Plano Médio","Consulta, emergência e internação","Consulta, emergência, internação e odontologia"))</x:f>
        <x:v>Consulta e internação</x:v>
      </x:c>
    </x:row>
    <x:row r="146">
      <x:c r="A146" s="8" t="n">
        <x:v>45870</x:v>
      </x:c>
      <x:c r="B146" s="3" t="inlineStr">
        <x:is>
          <x:t xml:space="preserve">Plano Médio</x:t>
        </x:is>
      </x:c>
      <x:c r="C146" s="3" t="inlineStr">
        <x:is>
          <x:t xml:space="preserve">Espírito Santo</x:t>
        </x:is>
      </x:c>
      <x:c r="D146" s="9" t="n">
        <x:v>249.9</x:v>
      </x:c>
      <x:c r="E146" s="5" t="n">
        <x:v>1</x:v>
      </x:c>
      <x:c r="F146" s="9">
        <x:f>ROUND(D146*E146,2)</x:f>
        <x:v>249.9</x:v>
      </x:c>
      <x:c r="G146" s="9" t="n">
        <x:v>24.99</x:v>
      </x:c>
      <x:c r="H146" s="9">
        <x:f>ROUND(F146-G146,2)</x:f>
        <x:v>224.91</x:v>
      </x:c>
      <x:c r="I146" s="3" t="inlineStr">
        <x:is>
          <x:t xml:space="preserve">Queila Nunes</x:t>
        </x:is>
      </x:c>
      <x:c r="J146" s="3" t="inlineStr">
        <x:is>
          <x:t xml:space="preserve">Guilherme Araújo</x:t>
        </x:is>
      </x:c>
      <x:c r="K146" s="3" t="str">
        <x:f>IF(B146="Plano Básico","Consulta e internação",IF(B146="Plano Médio","Consulta, emergência e internação","Consulta, emergência, internação e odontologia"))</x:f>
        <x:v>Consulta, emergência e internação</x:v>
      </x:c>
    </x:row>
    <x:row r="147">
      <x:c r="A147" s="8" t="n">
        <x:v>45873</x:v>
      </x:c>
      <x:c r="B147" s="3" t="inlineStr">
        <x:is>
          <x:t xml:space="preserve">Plano Master</x:t>
        </x:is>
      </x:c>
      <x:c r="C147" s="3" t="inlineStr">
        <x:is>
          <x:t xml:space="preserve">Ceará</x:t>
        </x:is>
      </x:c>
      <x:c r="D147" s="9" t="n">
        <x:v>399.9</x:v>
      </x:c>
      <x:c r="E147" s="5" t="n">
        <x:v>2</x:v>
      </x:c>
      <x:c r="F147" s="9">
        <x:f>ROUND(D147*E147,2)</x:f>
        <x:v>799.8</x:v>
      </x:c>
      <x:c r="G147" s="9" t="n">
        <x:v>0</x:v>
      </x:c>
      <x:c r="H147" s="9">
        <x:f>ROUND(F147-G147,2)</x:f>
        <x:v>799.8</x:v>
      </x:c>
      <x:c r="I147" s="3" t="inlineStr">
        <x:is>
          <x:t xml:space="preserve">Heitor Lopes</x:t>
        </x:is>
      </x:c>
      <x:c r="J147" s="3" t="inlineStr">
        <x:is>
          <x:t xml:space="preserve">Juliana Martins</x:t>
        </x:is>
      </x:c>
      <x:c r="K147" s="3" t="str">
        <x:f>IF(B147="Plano Básico","Consulta e internação",IF(B147="Plano Médio","Consulta, emergência e internação","Consulta, emergência, internação e odontologia"))</x:f>
        <x:v>Consulta, emergência, internação e odontologia</x:v>
      </x:c>
    </x:row>
    <x:row r="148">
      <x:c r="A148" s="8" t="n">
        <x:v>45875</x:v>
      </x:c>
      <x:c r="B148" s="3" t="inlineStr">
        <x:is>
          <x:t xml:space="preserve">Plano Médio</x:t>
        </x:is>
      </x:c>
      <x:c r="C148" s="3" t="inlineStr">
        <x:is>
          <x:t xml:space="preserve">Rio de Janeiro</x:t>
        </x:is>
      </x:c>
      <x:c r="D148" s="9" t="n">
        <x:v>249.9</x:v>
      </x:c>
      <x:c r="E148" s="5" t="n">
        <x:v>2</x:v>
      </x:c>
      <x:c r="F148" s="9">
        <x:f>ROUND(D148*E148,2)</x:f>
        <x:v>499.8</x:v>
      </x:c>
      <x:c r="G148" s="9" t="n">
        <x:v>49.98</x:v>
      </x:c>
      <x:c r="H148" s="9">
        <x:f>ROUND(F148-G148,2)</x:f>
        <x:v>449.82</x:v>
      </x:c>
      <x:c r="I148" s="3" t="inlineStr">
        <x:is>
          <x:t xml:space="preserve">Fábio Tavares</x:t>
        </x:is>
      </x:c>
      <x:c r="J148" s="3" t="inlineStr">
        <x:is>
          <x:t xml:space="preserve">Fernanda Souza</x:t>
        </x:is>
      </x:c>
      <x:c r="K148" s="3" t="str">
        <x:f>IF(B148="Plano Básico","Consulta e internação",IF(B148="Plano Médio","Consulta, emergência e internação","Consulta, emergência, internação e odontologia"))</x:f>
        <x:v>Consulta, emergência e internação</x:v>
      </x:c>
    </x:row>
    <x:row r="149">
      <x:c r="A149" s="8" t="n">
        <x:v>45882</x:v>
      </x:c>
      <x:c r="B149" s="3" t="inlineStr">
        <x:is>
          <x:t xml:space="preserve">Plano Master</x:t>
        </x:is>
      </x:c>
      <x:c r="C149" s="3" t="inlineStr">
        <x:is>
          <x:t xml:space="preserve">Ceará</x:t>
        </x:is>
      </x:c>
      <x:c r="D149" s="9" t="n">
        <x:v>399.9</x:v>
      </x:c>
      <x:c r="E149" s="5" t="n">
        <x:v>4</x:v>
      </x:c>
      <x:c r="F149" s="9">
        <x:f>ROUND(D149*E149,2)</x:f>
        <x:v>1599.6</x:v>
      </x:c>
      <x:c r="G149" s="9" t="n">
        <x:v>0</x:v>
      </x:c>
      <x:c r="H149" s="9">
        <x:f>ROUND(F149-G149,2)</x:f>
        <x:v>1599.6</x:v>
      </x:c>
      <x:c r="I149" s="3" t="inlineStr">
        <x:is>
          <x:t xml:space="preserve">Jéssica Barbalho</x:t>
        </x:is>
      </x:c>
      <x:c r="J149" s="3" t="inlineStr">
        <x:is>
          <x:t xml:space="preserve">Fernanda Souza</x:t>
        </x:is>
      </x:c>
      <x:c r="K149" s="3" t="str">
        <x:f>IF(B149="Plano Básico","Consulta e internação",IF(B149="Plano Médio","Consulta, emergência e internação","Consulta, emergência, internação e odontologia"))</x:f>
        <x:v>Consulta, emergência, internação e odontologia</x:v>
      </x:c>
    </x:row>
    <x:row r="150">
      <x:c r="A150" s="8" t="n">
        <x:v>45888</x:v>
      </x:c>
      <x:c r="B150" s="3" t="inlineStr">
        <x:is>
          <x:t xml:space="preserve">Plano Básico</x:t>
        </x:is>
      </x:c>
      <x:c r="C150" s="3" t="inlineStr">
        <x:is>
          <x:t xml:space="preserve">Goiás</x:t>
        </x:is>
      </x:c>
      <x:c r="D150" s="9" t="n">
        <x:v>149.9</x:v>
      </x:c>
      <x:c r="E150" s="5" t="n">
        <x:v>2</x:v>
      </x:c>
      <x:c r="F150" s="9">
        <x:f>ROUND(D150*E150,2)</x:f>
        <x:v>299.8</x:v>
      </x:c>
      <x:c r="G150" s="9" t="n">
        <x:v>29.98</x:v>
      </x:c>
      <x:c r="H150" s="9">
        <x:f>ROUND(F150-G150,2)</x:f>
        <x:v>269.82</x:v>
      </x:c>
      <x:c r="I150" s="3" t="inlineStr">
        <x:is>
          <x:t xml:space="preserve">Juliana Cunha</x:t>
        </x:is>
      </x:c>
      <x:c r="J150" s="3" t="inlineStr">
        <x:is>
          <x:t xml:space="preserve">Guilherme Araújo</x:t>
        </x:is>
      </x:c>
      <x:c r="K150" s="3" t="str">
        <x:f>IF(B150="Plano Básico","Consulta e internação",IF(B150="Plano Médio","Consulta, emergência e internação","Consulta, emergência, internação e odontologia"))</x:f>
        <x:v>Consulta e internação</x:v>
      </x:c>
    </x:row>
    <x:row r="151">
      <x:c r="A151" s="8" t="n">
        <x:v>45895</x:v>
      </x:c>
      <x:c r="B151" s="3" t="inlineStr">
        <x:is>
          <x:t xml:space="preserve">Plano Básico</x:t>
        </x:is>
      </x:c>
      <x:c r="C151" s="3" t="inlineStr">
        <x:is>
          <x:t xml:space="preserve">Pernambuco</x:t>
        </x:is>
      </x:c>
      <x:c r="D151" s="9" t="n">
        <x:v>149.9</x:v>
      </x:c>
      <x:c r="E151" s="5" t="n">
        <x:v>2</x:v>
      </x:c>
      <x:c r="F151" s="9">
        <x:f>ROUND(D151*E151,2)</x:f>
        <x:v>299.8</x:v>
      </x:c>
      <x:c r="G151" s="9" t="n">
        <x:v>13.98</x:v>
      </x:c>
      <x:c r="H151" s="9">
        <x:f>ROUND(F151-G151,2)</x:f>
        <x:v>285.82</x:v>
      </x:c>
      <x:c r="I151" s="3" t="inlineStr">
        <x:is>
          <x:t xml:space="preserve">Patrícia Neves</x:t>
        </x:is>
      </x:c>
      <x:c r="J151" s="3" t="inlineStr">
        <x:is>
          <x:t xml:space="preserve">Amanda Lopes</x:t>
        </x:is>
      </x:c>
      <x:c r="K151" s="3" t="str">
        <x:f>IF(B151="Plano Básico","Consulta e internação",IF(B151="Plano Médio","Consulta, emergência e internação","Consulta, emergência, internação e odontologia"))</x:f>
        <x:v>Consulta e internação</x:v>
      </x:c>
    </x:row>
    <x:row r="152">
      <x:c r="A152" s="8" t="n">
        <x:v>45896</x:v>
      </x:c>
      <x:c r="B152" s="3" t="inlineStr">
        <x:is>
          <x:t xml:space="preserve">Plano Básico</x:t>
        </x:is>
      </x:c>
      <x:c r="C152" s="3" t="inlineStr">
        <x:is>
          <x:t xml:space="preserve">Rio de Janeiro</x:t>
        </x:is>
      </x:c>
      <x:c r="D152" s="9" t="n">
        <x:v>149.9</x:v>
      </x:c>
      <x:c r="E152" s="5" t="n">
        <x:v>3</x:v>
      </x:c>
      <x:c r="F152" s="9">
        <x:f>ROUND(D152*E152,2)</x:f>
        <x:v>449.7</x:v>
      </x:c>
      <x:c r="G152" s="9" t="n">
        <x:v>13.49</x:v>
      </x:c>
      <x:c r="H152" s="9">
        <x:f>ROUND(F152-G152,2)</x:f>
        <x:v>436.21</x:v>
      </x:c>
      <x:c r="I152" s="3" t="inlineStr">
        <x:is>
          <x:t xml:space="preserve">Luciana Paiva</x:t>
        </x:is>
      </x:c>
      <x:c r="J152" s="3" t="inlineStr">
        <x:is>
          <x:t xml:space="preserve">Diego Nascimento</x:t>
        </x:is>
      </x:c>
      <x:c r="K152" s="3" t="str">
        <x:f>IF(B152="Plano Básico","Consulta e internação",IF(B152="Plano Médio","Consulta, emergência e internação","Consulta, emergência, internação e odontologia"))</x:f>
        <x:v>Consulta e internação</x:v>
      </x:c>
    </x:row>
    <x:row r="153">
      <x:c r="A153" s="8" t="n">
        <x:v>45897</x:v>
      </x:c>
      <x:c r="B153" s="3" t="inlineStr">
        <x:is>
          <x:t xml:space="preserve">Plano Médio</x:t>
        </x:is>
      </x:c>
      <x:c r="C153" s="3" t="inlineStr">
        <x:is>
          <x:t xml:space="preserve">Distrito Federal</x:t>
        </x:is>
      </x:c>
      <x:c r="D153" s="9" t="n">
        <x:v>249.9</x:v>
      </x:c>
      <x:c r="E153" s="5" t="n">
        <x:v>2</x:v>
      </x:c>
      <x:c r="F153" s="9">
        <x:f>ROUND(D153*E153,2)</x:f>
        <x:v>499.8</x:v>
      </x:c>
      <x:c r="G153" s="9" t="n">
        <x:v>0</x:v>
      </x:c>
      <x:c r="H153" s="9">
        <x:f>ROUND(F153-G153,2)</x:f>
        <x:v>499.8</x:v>
      </x:c>
      <x:c r="I153" s="3" t="inlineStr">
        <x:is>
          <x:t xml:space="preserve">Gabriela Lima</x:t>
        </x:is>
      </x:c>
      <x:c r="J153" s="3" t="inlineStr">
        <x:is>
          <x:t xml:space="preserve">Marcos Vinícius</x:t>
        </x:is>
      </x:c>
      <x:c r="K153" s="3" t="str">
        <x:f>IF(B153="Plano Básico","Consulta e internação",IF(B153="Plano Médio","Consulta, emergência e internação","Consulta, emergência, internação e odontologia"))</x:f>
        <x:v>Consulta, emergência e internação</x:v>
      </x:c>
    </x:row>
    <x:row r="154">
      <x:c r="A154" s="8" t="n">
        <x:v>45901</x:v>
      </x:c>
      <x:c r="B154" s="3" t="inlineStr">
        <x:is>
          <x:t xml:space="preserve">Plano Básico</x:t>
        </x:is>
      </x:c>
      <x:c r="C154" s="3" t="inlineStr">
        <x:is>
          <x:t xml:space="preserve">Rio Grande do Sul</x:t>
        </x:is>
      </x:c>
      <x:c r="D154" s="9" t="n">
        <x:v>149.9</x:v>
      </x:c>
      <x:c r="E154" s="5" t="n">
        <x:v>1</x:v>
      </x:c>
      <x:c r="F154" s="9">
        <x:f>ROUND(D154*E154,2)</x:f>
        <x:v>149.9</x:v>
      </x:c>
      <x:c r="G154" s="9" t="n">
        <x:v>0</x:v>
      </x:c>
      <x:c r="H154" s="9">
        <x:f>ROUND(F154-G154,2)</x:f>
        <x:v>149.9</x:v>
      </x:c>
      <x:c r="I154" s="3" t="inlineStr">
        <x:is>
          <x:t xml:space="preserve">Talita Ramos</x:t>
        </x:is>
      </x:c>
      <x:c r="J154" s="3" t="inlineStr">
        <x:is>
          <x:t xml:space="preserve">Patrícia Silva</x:t>
        </x:is>
      </x:c>
      <x:c r="K154" s="3" t="str">
        <x:f>IF(B154="Plano Básico","Consulta e internação",IF(B154="Plano Médio","Consulta, emergência e internação","Consulta, emergência, internação e odontologia"))</x:f>
        <x:v>Consulta e internação</x:v>
      </x:c>
    </x:row>
    <x:row r="155">
      <x:c r="A155" s="8" t="n">
        <x:v>45901</x:v>
      </x:c>
      <x:c r="B155" s="3" t="inlineStr">
        <x:is>
          <x:t xml:space="preserve">Plano Médio</x:t>
        </x:is>
      </x:c>
      <x:c r="C155" s="3" t="inlineStr">
        <x:is>
          <x:t xml:space="preserve">São Paulo</x:t>
        </x:is>
      </x:c>
      <x:c r="D155" s="9" t="n">
        <x:v>249.9</x:v>
      </x:c>
      <x:c r="E155" s="5" t="n">
        <x:v>3</x:v>
      </x:c>
      <x:c r="F155" s="9">
        <x:f>ROUND(D155*E155,2)</x:f>
        <x:v>749.7</x:v>
      </x:c>
      <x:c r="G155" s="9" t="n">
        <x:v>22.49</x:v>
      </x:c>
      <x:c r="H155" s="9">
        <x:f>ROUND(F155-G155,2)</x:f>
        <x:v>727.21</x:v>
      </x:c>
      <x:c r="I155" s="3" t="inlineStr">
        <x:is>
          <x:t xml:space="preserve">Olivia Mendes</x:t>
        </x:is>
      </x:c>
      <x:c r="J155" s="3" t="inlineStr">
        <x:is>
          <x:t xml:space="preserve">Fernanda Souza</x:t>
        </x:is>
      </x:c>
      <x:c r="K155" s="3" t="str">
        <x:f>IF(B155="Plano Básico","Consulta e internação",IF(B155="Plano Médio","Consulta, emergência e internação","Consulta, emergência, internação e odontologia"))</x:f>
        <x:v>Consulta, emergência e internação</x:v>
      </x:c>
    </x:row>
    <x:row r="156">
      <x:c r="A156" s="8" t="n">
        <x:v>45906</x:v>
      </x:c>
      <x:c r="B156" s="3" t="inlineStr">
        <x:is>
          <x:t xml:space="preserve">Plano Master</x:t>
        </x:is>
      </x:c>
      <x:c r="C156" s="3" t="inlineStr">
        <x:is>
          <x:t xml:space="preserve">São Paulo</x:t>
        </x:is>
      </x:c>
      <x:c r="D156" s="9" t="n">
        <x:v>399.9</x:v>
      </x:c>
      <x:c r="E156" s="5" t="n">
        <x:v>2</x:v>
      </x:c>
      <x:c r="F156" s="9">
        <x:f>ROUND(D156*E156,2)</x:f>
        <x:v>799.8</x:v>
      </x:c>
      <x:c r="G156" s="9" t="n">
        <x:v>79.98</x:v>
      </x:c>
      <x:c r="H156" s="9">
        <x:f>ROUND(F156-G156,2)</x:f>
        <x:v>719.82</x:v>
      </x:c>
      <x:c r="I156" s="3" t="inlineStr">
        <x:is>
          <x:t xml:space="preserve">Henrique Carvalho</x:t>
        </x:is>
      </x:c>
      <x:c r="J156" s="3" t="inlineStr">
        <x:is>
          <x:t xml:space="preserve">Guilherme Araújo</x:t>
        </x:is>
      </x:c>
      <x:c r="K156" s="3" t="str">
        <x:f>IF(B156="Plano Básico","Consulta e internação",IF(B156="Plano Médio","Consulta, emergência e internação","Consulta, emergência, internação e odontologia"))</x:f>
        <x:v>Consulta, emergência, internação e odontologia</x:v>
      </x:c>
    </x:row>
    <x:row r="157">
      <x:c r="A157" s="8" t="n">
        <x:v>45907</x:v>
      </x:c>
      <x:c r="B157" s="3" t="inlineStr">
        <x:is>
          <x:t xml:space="preserve">Plano Master</x:t>
        </x:is>
      </x:c>
      <x:c r="C157" s="3" t="inlineStr">
        <x:is>
          <x:t xml:space="preserve">Santa Catarina</x:t>
        </x:is>
      </x:c>
      <x:c r="D157" s="9" t="n">
        <x:v>399.9</x:v>
      </x:c>
      <x:c r="E157" s="5" t="n">
        <x:v>1</x:v>
      </x:c>
      <x:c r="F157" s="9">
        <x:f>ROUND(D157*E157,2)</x:f>
        <x:v>399.9</x:v>
      </x:c>
      <x:c r="G157" s="9" t="n">
        <x:v>0</x:v>
      </x:c>
      <x:c r="H157" s="9">
        <x:f>ROUND(F157-G157,2)</x:f>
        <x:v>399.9</x:v>
      </x:c>
      <x:c r="I157" s="3" t="inlineStr">
        <x:is>
          <x:t xml:space="preserve">Kleber Monteiro</x:t>
        </x:is>
      </x:c>
      <x:c r="J157" s="3" t="inlineStr">
        <x:is>
          <x:t xml:space="preserve">Juliana Martins</x:t>
        </x:is>
      </x:c>
      <x:c r="K157" s="3" t="str">
        <x:f>IF(B157="Plano Básico","Consulta e internação",IF(B157="Plano Médio","Consulta, emergência e internação","Consulta, emergência, internação e odontologia"))</x:f>
        <x:v>Consulta, emergência, internação e odontologia</x:v>
      </x:c>
    </x:row>
    <x:row r="158">
      <x:c r="A158" s="8" t="n">
        <x:v>45914</x:v>
      </x:c>
      <x:c r="B158" s="3" t="inlineStr">
        <x:is>
          <x:t xml:space="preserve">Plano Básico</x:t>
        </x:is>
      </x:c>
      <x:c r="C158" s="3" t="inlineStr">
        <x:is>
          <x:t xml:space="preserve">Paraná</x:t>
        </x:is>
      </x:c>
      <x:c r="D158" s="9" t="n">
        <x:v>149.9</x:v>
      </x:c>
      <x:c r="E158" s="5" t="n">
        <x:v>1</x:v>
      </x:c>
      <x:c r="F158" s="9">
        <x:f>ROUND(D158*E158,2)</x:f>
        <x:v>149.9</x:v>
      </x:c>
      <x:c r="G158" s="9" t="n">
        <x:v>0</x:v>
      </x:c>
      <x:c r="H158" s="9">
        <x:f>ROUND(F158-G158,2)</x:f>
        <x:v>149.9</x:v>
      </x:c>
      <x:c r="I158" s="3" t="inlineStr">
        <x:is>
          <x:t xml:space="preserve">Gabriela Lima</x:t>
        </x:is>
      </x:c>
      <x:c r="J158" s="3" t="inlineStr">
        <x:is>
          <x:t xml:space="preserve">Patrícia Silva</x:t>
        </x:is>
      </x:c>
      <x:c r="K158" s="3" t="str">
        <x:f>IF(B158="Plano Básico","Consulta e internação",IF(B158="Plano Médio","Consulta, emergência e internação","Consulta, emergência, internação e odontologia"))</x:f>
        <x:v>Consulta e internação</x:v>
      </x:c>
    </x:row>
    <x:row r="159">
      <x:c r="A159" s="8" t="n">
        <x:v>45917</x:v>
      </x:c>
      <x:c r="B159" s="3" t="inlineStr">
        <x:is>
          <x:t xml:space="preserve">Plano Básico</x:t>
        </x:is>
      </x:c>
      <x:c r="C159" s="3" t="inlineStr">
        <x:is>
          <x:t xml:space="preserve">Ceará</x:t>
        </x:is>
      </x:c>
      <x:c r="D159" s="9" t="n">
        <x:v>149.9</x:v>
      </x:c>
      <x:c r="E159" s="5" t="n">
        <x:v>1</x:v>
      </x:c>
      <x:c r="F159" s="9">
        <x:f>ROUND(D159*E159,2)</x:f>
        <x:v>149.9</x:v>
      </x:c>
      <x:c r="G159" s="9" t="n">
        <x:v>0</x:v>
      </x:c>
      <x:c r="H159" s="9">
        <x:f>ROUND(F159-G159,2)</x:f>
        <x:v>149.9</x:v>
      </x:c>
      <x:c r="I159" s="3" t="inlineStr">
        <x:is>
          <x:t xml:space="preserve">Jéssica Barbalho</x:t>
        </x:is>
      </x:c>
      <x:c r="J159" s="3" t="inlineStr">
        <x:is>
          <x:t xml:space="preserve">Larissa Rocha</x:t>
        </x:is>
      </x:c>
      <x:c r="K159" s="3" t="str">
        <x:f>IF(B159="Plano Básico","Consulta e internação",IF(B159="Plano Médio","Consulta, emergência e internação","Consulta, emergência, internação e odontologia"))</x:f>
        <x:v>Consulta e internação</x:v>
      </x:c>
    </x:row>
    <x:row r="160">
      <x:c r="A160" s="8" t="n">
        <x:v>45918</x:v>
      </x:c>
      <x:c r="B160" s="3" t="inlineStr">
        <x:is>
          <x:t xml:space="preserve">Plano Master</x:t>
        </x:is>
      </x:c>
      <x:c r="C160" s="3" t="inlineStr">
        <x:is>
          <x:t xml:space="preserve">Rio Grande do Sul</x:t>
        </x:is>
      </x:c>
      <x:c r="D160" s="9" t="n">
        <x:v>399.9</x:v>
      </x:c>
      <x:c r="E160" s="5" t="n">
        <x:v>1</x:v>
      </x:c>
      <x:c r="F160" s="9">
        <x:f>ROUND(D160*E160,2)</x:f>
        <x:v>399.9</x:v>
      </x:c>
      <x:c r="G160" s="9" t="n">
        <x:v>39.99</x:v>
      </x:c>
      <x:c r="H160" s="9">
        <x:f>ROUND(F160-G160,2)</x:f>
        <x:v>359.91</x:v>
      </x:c>
      <x:c r="I160" s="3" t="inlineStr">
        <x:is>
          <x:t xml:space="preserve">Rodrigo Sales</x:t>
        </x:is>
      </x:c>
      <x:c r="J160" s="3" t="inlineStr">
        <x:is>
          <x:t xml:space="preserve">Patrícia Silva</x:t>
        </x:is>
      </x:c>
      <x:c r="K160" s="3" t="str">
        <x:f>IF(B160="Plano Básico","Consulta e internação",IF(B160="Plano Médio","Consulta, emergência e internação","Consulta, emergência, internação e odontologia"))</x:f>
        <x:v>Consulta, emergência, internação e odontologia</x:v>
      </x:c>
    </x:row>
    <x:row r="161">
      <x:c r="A161" s="8" t="n">
        <x:v>45926</x:v>
      </x:c>
      <x:c r="B161" s="3" t="inlineStr">
        <x:is>
          <x:t xml:space="preserve">Plano Médio</x:t>
        </x:is>
      </x:c>
      <x:c r="C161" s="3" t="inlineStr">
        <x:is>
          <x:t xml:space="preserve">Distrito Federal</x:t>
        </x:is>
      </x:c>
      <x:c r="D161" s="9" t="n">
        <x:v>249.9</x:v>
      </x:c>
      <x:c r="E161" s="5" t="n">
        <x:v>1</x:v>
      </x:c>
      <x:c r="F161" s="9">
        <x:f>ROUND(D161*E161,2)</x:f>
        <x:v>249.9</x:v>
      </x:c>
      <x:c r="G161" s="9" t="n">
        <x:v>19.99</x:v>
      </x:c>
      <x:c r="H161" s="9">
        <x:f>ROUND(F161-G161,2)</x:f>
        <x:v>229.91</x:v>
      </x:c>
      <x:c r="I161" s="3" t="inlineStr">
        <x:is>
          <x:t xml:space="preserve">Vanessa Prado</x:t>
        </x:is>
      </x:c>
      <x:c r="J161" s="3" t="inlineStr">
        <x:is>
          <x:t xml:space="preserve">Larissa Rocha</x:t>
        </x:is>
      </x:c>
      <x:c r="K161" s="3" t="str">
        <x:f>IF(B161="Plano Básico","Consulta e internação",IF(B161="Plano Médio","Consulta, emergência e internação","Consulta, emergência, internação e odontologia"))</x:f>
        <x:v>Consulta, emergência e internação</x:v>
      </x:c>
    </x:row>
    <x:row r="162">
      <x:c r="A162" s="8" t="n">
        <x:v>45929</x:v>
      </x:c>
      <x:c r="B162" s="3" t="inlineStr">
        <x:is>
          <x:t xml:space="preserve">Plano Básico</x:t>
        </x:is>
      </x:c>
      <x:c r="C162" s="3" t="inlineStr">
        <x:is>
          <x:t xml:space="preserve">Rio de Janeiro</x:t>
        </x:is>
      </x:c>
      <x:c r="D162" s="9" t="n">
        <x:v>149.9</x:v>
      </x:c>
      <x:c r="E162" s="5" t="n">
        <x:v>4</x:v>
      </x:c>
      <x:c r="F162" s="9">
        <x:f>ROUND(D162*E162,2)</x:f>
        <x:v>599.6</x:v>
      </x:c>
      <x:c r="G162" s="9" t="n">
        <x:v>0</x:v>
      </x:c>
      <x:c r="H162" s="9">
        <x:f>ROUND(F162-G162,2)</x:f>
        <x:v>599.6</x:v>
      </x:c>
      <x:c r="I162" s="3" t="inlineStr">
        <x:is>
          <x:t xml:space="preserve">Kleber Monteiro</x:t>
        </x:is>
      </x:c>
      <x:c r="J162" s="3" t="inlineStr">
        <x:is>
          <x:t xml:space="preserve">Diego Nascimento</x:t>
        </x:is>
      </x:c>
      <x:c r="K162" s="3" t="str">
        <x:f>IF(B162="Plano Básico","Consulta e internação",IF(B162="Plano Médio","Consulta, emergência e internação","Consulta, emergência, internação e odontologia"))</x:f>
        <x:v>Consulta e internação</x:v>
      </x:c>
    </x:row>
    <x:row r="163">
      <x:c r="A163" s="8" t="n">
        <x:v>45935</x:v>
      </x:c>
      <x:c r="B163" s="3" t="inlineStr">
        <x:is>
          <x:t xml:space="preserve">Plano Médio</x:t>
        </x:is>
      </x:c>
      <x:c r="C163" s="3" t="inlineStr">
        <x:is>
          <x:t xml:space="preserve">Distrito Federal</x:t>
        </x:is>
      </x:c>
      <x:c r="D163" s="9" t="n">
        <x:v>249.9</x:v>
      </x:c>
      <x:c r="E163" s="5" t="n">
        <x:v>1</x:v>
      </x:c>
      <x:c r="F163" s="9">
        <x:f>ROUND(D163*E163,2)</x:f>
        <x:v>249.9</x:v>
      </x:c>
      <x:c r="G163" s="9" t="n">
        <x:v>12.49</x:v>
      </x:c>
      <x:c r="H163" s="9">
        <x:f>ROUND(F163-G163,2)</x:f>
        <x:v>237.41</x:v>
      </x:c>
      <x:c r="I163" s="3" t="inlineStr">
        <x:is>
          <x:t xml:space="preserve">Camila Ribeiro</x:t>
        </x:is>
      </x:c>
      <x:c r="J163" s="3" t="inlineStr">
        <x:is>
          <x:t xml:space="preserve">Patrícia Silva</x:t>
        </x:is>
      </x:c>
      <x:c r="K163" s="3" t="str">
        <x:f>IF(B163="Plano Básico","Consulta e internação",IF(B163="Plano Médio","Consulta, emergência e internação","Consulta, emergência, internação e odontologia"))</x:f>
        <x:v>Consulta, emergência e internação</x:v>
      </x:c>
    </x:row>
    <x:row r="164">
      <x:c r="A164" s="8" t="n">
        <x:v>45936</x:v>
      </x:c>
      <x:c r="B164" s="3" t="inlineStr">
        <x:is>
          <x:t xml:space="preserve">Plano Básico</x:t>
        </x:is>
      </x:c>
      <x:c r="C164" s="3" t="inlineStr">
        <x:is>
          <x:t xml:space="preserve">Pernambuco</x:t>
        </x:is>
      </x:c>
      <x:c r="D164" s="9" t="n">
        <x:v>149.9</x:v>
      </x:c>
      <x:c r="E164" s="5" t="n">
        <x:v>4</x:v>
      </x:c>
      <x:c r="F164" s="9">
        <x:f>ROUND(D164*E164,2)</x:f>
        <x:v>599.6</x:v>
      </x:c>
      <x:c r="G164" s="9" t="n">
        <x:v>29.98</x:v>
      </x:c>
      <x:c r="H164" s="9">
        <x:f>ROUND(F164-G164,2)</x:f>
        <x:v>569.62</x:v>
      </x:c>
      <x:c r="I164" s="3" t="inlineStr">
        <x:is>
          <x:t xml:space="preserve">Mariana Alves</x:t>
        </x:is>
      </x:c>
      <x:c r="J164" s="3" t="inlineStr">
        <x:is>
          <x:t xml:space="preserve">Beatriz Gonçalves</x:t>
        </x:is>
      </x:c>
      <x:c r="K164" s="3" t="str">
        <x:f>IF(B164="Plano Básico","Consulta e internação",IF(B164="Plano Médio","Consulta, emergência e internação","Consulta, emergência, internação e odontologia"))</x:f>
        <x:v>Consulta e internação</x:v>
      </x:c>
    </x:row>
    <x:row r="165">
      <x:c r="A165" s="8" t="n">
        <x:v>45941</x:v>
      </x:c>
      <x:c r="B165" s="3" t="inlineStr">
        <x:is>
          <x:t xml:space="preserve">Plano Médio</x:t>
        </x:is>
      </x:c>
      <x:c r="C165" s="3" t="inlineStr">
        <x:is>
          <x:t xml:space="preserve">Rio de Janeiro</x:t>
        </x:is>
      </x:c>
      <x:c r="D165" s="9" t="n">
        <x:v>249.9</x:v>
      </x:c>
      <x:c r="E165" s="5" t="n">
        <x:v>4</x:v>
      </x:c>
      <x:c r="F165" s="9">
        <x:f>ROUND(D165*E165,2)</x:f>
        <x:v>999.6</x:v>
      </x:c>
      <x:c r="G165" s="9" t="n">
        <x:v>49.98</x:v>
      </x:c>
      <x:c r="H165" s="9">
        <x:f>ROUND(F165-G165,2)</x:f>
        <x:v>949.62</x:v>
      </x:c>
      <x:c r="I165" s="3" t="inlineStr">
        <x:is>
          <x:t xml:space="preserve">Jéssica Barbalho</x:t>
        </x:is>
      </x:c>
      <x:c r="J165" s="3" t="inlineStr">
        <x:is>
          <x:t xml:space="preserve">Diego Nascimento</x:t>
        </x:is>
      </x:c>
      <x:c r="K165" s="3" t="str">
        <x:f>IF(B165="Plano Básico","Consulta e internação",IF(B165="Plano Médio","Consulta, emergência e internação","Consulta, emergência, internação e odontologia"))</x:f>
        <x:v>Consulta, emergência e internação</x:v>
      </x:c>
    </x:row>
    <x:row r="166">
      <x:c r="A166" s="8" t="n">
        <x:v>45942</x:v>
      </x:c>
      <x:c r="B166" s="3" t="inlineStr">
        <x:is>
          <x:t xml:space="preserve">Plano Básico</x:t>
        </x:is>
      </x:c>
      <x:c r="C166" s="3" t="inlineStr">
        <x:is>
          <x:t xml:space="preserve">Paraná</x:t>
        </x:is>
      </x:c>
      <x:c r="D166" s="9" t="n">
        <x:v>149.9</x:v>
      </x:c>
      <x:c r="E166" s="5" t="n">
        <x:v>2</x:v>
      </x:c>
      <x:c r="F166" s="9">
        <x:f>ROUND(D166*E166,2)</x:f>
        <x:v>299.8</x:v>
      </x:c>
      <x:c r="G166" s="9" t="n">
        <x:v>29.98</x:v>
      </x:c>
      <x:c r="H166" s="9">
        <x:f>ROUND(F166-G166,2)</x:f>
        <x:v>269.82</x:v>
      </x:c>
      <x:c r="I166" s="3" t="inlineStr">
        <x:is>
          <x:t xml:space="preserve">Tatiane Moura</x:t>
        </x:is>
      </x:c>
      <x:c r="J166" s="3" t="inlineStr">
        <x:is>
          <x:t xml:space="preserve">Amanda Lopes</x:t>
        </x:is>
      </x:c>
      <x:c r="K166" s="3" t="str">
        <x:f>IF(B166="Plano Básico","Consulta e internação",IF(B166="Plano Médio","Consulta, emergência e internação","Consulta, emergência, internação e odontologia"))</x:f>
        <x:v>Consulta e internação</x:v>
      </x:c>
    </x:row>
    <x:row r="167">
      <x:c r="A167" s="8" t="n">
        <x:v>45951</x:v>
      </x:c>
      <x:c r="B167" s="3" t="inlineStr">
        <x:is>
          <x:t xml:space="preserve">Plano Master</x:t>
        </x:is>
      </x:c>
      <x:c r="C167" s="3" t="inlineStr">
        <x:is>
          <x:t xml:space="preserve">Paraná</x:t>
        </x:is>
      </x:c>
      <x:c r="D167" s="9" t="n">
        <x:v>399.9</x:v>
      </x:c>
      <x:c r="E167" s="5" t="n">
        <x:v>3</x:v>
      </x:c>
      <x:c r="F167" s="9">
        <x:f>ROUND(D167*E167,2)</x:f>
        <x:v>1199.7</x:v>
      </x:c>
      <x:c r="G167" s="9" t="n">
        <x:v>0</x:v>
      </x:c>
      <x:c r="H167" s="9">
        <x:f>ROUND(F167-G167,2)</x:f>
        <x:v>1199.7</x:v>
      </x:c>
      <x:c r="I167" s="3" t="inlineStr">
        <x:is>
          <x:t xml:space="preserve">Isabela Gomes</x:t>
        </x:is>
      </x:c>
      <x:c r="J167" s="3" t="inlineStr">
        <x:is>
          <x:t xml:space="preserve">Diego Nascimento</x:t>
        </x:is>
      </x:c>
      <x:c r="K167" s="3" t="str">
        <x:f>IF(B167="Plano Básico","Consulta e internação",IF(B167="Plano Médio","Consulta, emergência e internação","Consulta, emergência, internação e odontologia"))</x:f>
        <x:v>Consulta, emergência, internação e odontologia</x:v>
      </x:c>
    </x:row>
    <x:row r="168">
      <x:c r="A168" s="8" t="n">
        <x:v>45958</x:v>
      </x:c>
      <x:c r="B168" s="3" t="inlineStr">
        <x:is>
          <x:t xml:space="preserve">Plano Master</x:t>
        </x:is>
      </x:c>
      <x:c r="C168" s="3" t="inlineStr">
        <x:is>
          <x:t xml:space="preserve">Goiás</x:t>
        </x:is>
      </x:c>
      <x:c r="D168" s="9" t="n">
        <x:v>399.9</x:v>
      </x:c>
      <x:c r="E168" s="5" t="n">
        <x:v>2</x:v>
      </x:c>
      <x:c r="F168" s="9">
        <x:f>ROUND(D168*E168,2)</x:f>
        <x:v>799.8</x:v>
      </x:c>
      <x:c r="G168" s="9" t="n">
        <x:v>79.98</x:v>
      </x:c>
      <x:c r="H168" s="9">
        <x:f>ROUND(F168-G168,2)</x:f>
        <x:v>719.82</x:v>
      </x:c>
      <x:c r="I168" s="3" t="inlineStr">
        <x:is>
          <x:t xml:space="preserve">Elisa Pires</x:t>
        </x:is>
      </x:c>
      <x:c r="J168" s="3" t="inlineStr">
        <x:is>
          <x:t xml:space="preserve">Beatriz Gonçalves</x:t>
        </x:is>
      </x:c>
      <x:c r="K168" s="3" t="str">
        <x:f>IF(B168="Plano Básico","Consulta e internação",IF(B168="Plano Médio","Consulta, emergência e internação","Consulta, emergência, internação e odontologia"))</x:f>
        <x:v>Consulta, emergência, internação e odontologia</x:v>
      </x:c>
    </x:row>
    <x:row r="169">
      <x:c r="A169" s="8" t="n">
        <x:v>45967</x:v>
      </x:c>
      <x:c r="B169" s="3" t="inlineStr">
        <x:is>
          <x:t xml:space="preserve">Plano Master</x:t>
        </x:is>
      </x:c>
      <x:c r="C169" s="3" t="inlineStr">
        <x:is>
          <x:t xml:space="preserve">São Paulo</x:t>
        </x:is>
      </x:c>
      <x:c r="D169" s="9" t="n">
        <x:v>399.9</x:v>
      </x:c>
      <x:c r="E169" s="5" t="n">
        <x:v>2</x:v>
      </x:c>
      <x:c r="F169" s="9">
        <x:f>ROUND(D169*E169,2)</x:f>
        <x:v>799.8</x:v>
      </x:c>
      <x:c r="G169" s="9" t="n">
        <x:v>23.99</x:v>
      </x:c>
      <x:c r="H169" s="9">
        <x:f>ROUND(F169-G169,2)</x:f>
        <x:v>775.81</x:v>
      </x:c>
      <x:c r="I169" s="3" t="inlineStr">
        <x:is>
          <x:t xml:space="preserve">Marcelo Freitas</x:t>
        </x:is>
      </x:c>
      <x:c r="J169" s="3" t="inlineStr">
        <x:is>
          <x:t xml:space="preserve">Amanda Lopes</x:t>
        </x:is>
      </x:c>
      <x:c r="K169" s="3" t="str">
        <x:f>IF(B169="Plano Básico","Consulta e internação",IF(B169="Plano Médio","Consulta, emergência e internação","Consulta, emergência, internação e odontologia"))</x:f>
        <x:v>Consulta, emergência, internação e odontologia</x:v>
      </x:c>
    </x:row>
    <x:row r="170">
      <x:c r="A170" s="8" t="n">
        <x:v>45972</x:v>
      </x:c>
      <x:c r="B170" s="3" t="inlineStr">
        <x:is>
          <x:t xml:space="preserve">Plano Básico</x:t>
        </x:is>
      </x:c>
      <x:c r="C170" s="3" t="inlineStr">
        <x:is>
          <x:t xml:space="preserve">Paraná</x:t>
        </x:is>
      </x:c>
      <x:c r="D170" s="9" t="n">
        <x:v>149.9</x:v>
      </x:c>
      <x:c r="E170" s="5" t="n">
        <x:v>1</x:v>
      </x:c>
      <x:c r="F170" s="9">
        <x:f>ROUND(D170*E170,2)</x:f>
        <x:v>149.9</x:v>
      </x:c>
      <x:c r="G170" s="9" t="n">
        <x:v>0</x:v>
      </x:c>
      <x:c r="H170" s="9">
        <x:f>ROUND(F170-G170,2)</x:f>
        <x:v>149.9</x:v>
      </x:c>
      <x:c r="I170" s="3" t="inlineStr">
        <x:is>
          <x:t xml:space="preserve">Henrique Carvalho</x:t>
        </x:is>
      </x:c>
      <x:c r="J170" s="3" t="inlineStr">
        <x:is>
          <x:t xml:space="preserve">Beatriz Gonçalves</x:t>
        </x:is>
      </x:c>
      <x:c r="K170" s="3" t="str">
        <x:f>IF(B170="Plano Básico","Consulta e internação",IF(B170="Plano Médio","Consulta, emergência e internação","Consulta, emergência, internação e odontologia"))</x:f>
        <x:v>Consulta e internação</x:v>
      </x:c>
    </x:row>
    <x:row r="171">
      <x:c r="A171" s="8" t="n">
        <x:v>45972</x:v>
      </x:c>
      <x:c r="B171" s="3" t="inlineStr">
        <x:is>
          <x:t xml:space="preserve">Plano Médio</x:t>
        </x:is>
      </x:c>
      <x:c r="C171" s="3" t="inlineStr">
        <x:is>
          <x:t xml:space="preserve">Goiás</x:t>
        </x:is>
      </x:c>
      <x:c r="D171" s="9" t="n">
        <x:v>249.9</x:v>
      </x:c>
      <x:c r="E171" s="5" t="n">
        <x:v>1</x:v>
      </x:c>
      <x:c r="F171" s="9">
        <x:f>ROUND(D171*E171,2)</x:f>
        <x:v>249.9</x:v>
      </x:c>
      <x:c r="G171" s="9" t="n">
        <x:v>12.49</x:v>
      </x:c>
      <x:c r="H171" s="9">
        <x:f>ROUND(F171-G171,2)</x:f>
        <x:v>237.41</x:v>
      </x:c>
      <x:c r="I171" s="3" t="inlineStr">
        <x:is>
          <x:t xml:space="preserve">Thiago Cardoso</x:t>
        </x:is>
      </x:c>
      <x:c r="J171" s="3" t="inlineStr">
        <x:is>
          <x:t xml:space="preserve">Juliana Martins</x:t>
        </x:is>
      </x:c>
      <x:c r="K171" s="3" t="str">
        <x:f>IF(B171="Plano Básico","Consulta e internação",IF(B171="Plano Médio","Consulta, emergência e internação","Consulta, emergência, internação e odontologia"))</x:f>
        <x:v>Consulta, emergência e internação</x:v>
      </x:c>
    </x:row>
    <x:row r="172">
      <x:c r="A172" s="8" t="n">
        <x:v>45975</x:v>
      </x:c>
      <x:c r="B172" s="3" t="inlineStr">
        <x:is>
          <x:t xml:space="preserve">Plano Médio</x:t>
        </x:is>
      </x:c>
      <x:c r="C172" s="3" t="inlineStr">
        <x:is>
          <x:t xml:space="preserve">Paraná</x:t>
        </x:is>
      </x:c>
      <x:c r="D172" s="9" t="n">
        <x:v>249.9</x:v>
      </x:c>
      <x:c r="E172" s="5" t="n">
        <x:v>1</x:v>
      </x:c>
      <x:c r="F172" s="9">
        <x:f>ROUND(D172*E172,2)</x:f>
        <x:v>249.9</x:v>
      </x:c>
      <x:c r="G172" s="9" t="n">
        <x:v>24.99</x:v>
      </x:c>
      <x:c r="H172" s="9">
        <x:f>ROUND(F172-G172,2)</x:f>
        <x:v>224.91</x:v>
      </x:c>
      <x:c r="I172" s="3" t="inlineStr">
        <x:is>
          <x:t xml:space="preserve">Valéria Diniz</x:t>
        </x:is>
      </x:c>
      <x:c r="J172" s="3" t="inlineStr">
        <x:is>
          <x:t xml:space="preserve">Marcos Vinícius</x:t>
        </x:is>
      </x:c>
      <x:c r="K172" s="3" t="str">
        <x:f>IF(B172="Plano Básico","Consulta e internação",IF(B172="Plano Médio","Consulta, emergência e internação","Consulta, emergência, internação e odontologia"))</x:f>
        <x:v>Consulta, emergência e internação</x:v>
      </x:c>
    </x:row>
    <x:row r="173">
      <x:c r="A173" s="8" t="n">
        <x:v>45977</x:v>
      </x:c>
      <x:c r="B173" s="3" t="inlineStr">
        <x:is>
          <x:t xml:space="preserve">Plano Médio</x:t>
        </x:is>
      </x:c>
      <x:c r="C173" s="3" t="inlineStr">
        <x:is>
          <x:t xml:space="preserve">São Paulo</x:t>
        </x:is>
      </x:c>
      <x:c r="D173" s="9" t="n">
        <x:v>249.9</x:v>
      </x:c>
      <x:c r="E173" s="5" t="n">
        <x:v>2</x:v>
      </x:c>
      <x:c r="F173" s="9">
        <x:f>ROUND(D173*E173,2)</x:f>
        <x:v>499.8</x:v>
      </x:c>
      <x:c r="G173" s="9" t="n">
        <x:v>24.99</x:v>
      </x:c>
      <x:c r="H173" s="9">
        <x:f>ROUND(F173-G173,2)</x:f>
        <x:v>474.81</x:v>
      </x:c>
      <x:c r="I173" s="3" t="inlineStr">
        <x:is>
          <x:t xml:space="preserve">Heitor Lopes</x:t>
        </x:is>
      </x:c>
      <x:c r="J173" s="3" t="inlineStr">
        <x:is>
          <x:t xml:space="preserve">Guilherme Araújo</x:t>
        </x:is>
      </x:c>
      <x:c r="K173" s="3" t="str">
        <x:f>IF(B173="Plano Básico","Consulta e internação",IF(B173="Plano Médio","Consulta, emergência e internação","Consulta, emergência, internação e odontologia"))</x:f>
        <x:v>Consulta, emergência e internação</x:v>
      </x:c>
    </x:row>
    <x:row r="174">
      <x:c r="A174" s="8" t="n">
        <x:v>45979</x:v>
      </x:c>
      <x:c r="B174" s="3" t="inlineStr">
        <x:is>
          <x:t xml:space="preserve">Plano Médio</x:t>
        </x:is>
      </x:c>
      <x:c r="C174" s="3" t="inlineStr">
        <x:is>
          <x:t xml:space="preserve">Rio Grande do Sul</x:t>
        </x:is>
      </x:c>
      <x:c r="D174" s="9" t="n">
        <x:v>249.9</x:v>
      </x:c>
      <x:c r="E174" s="5" t="n">
        <x:v>1</x:v>
      </x:c>
      <x:c r="F174" s="9">
        <x:f>ROUND(D174*E174,2)</x:f>
        <x:v>249.9</x:v>
      </x:c>
      <x:c r="G174" s="9" t="n">
        <x:v>12.5</x:v>
      </x:c>
      <x:c r="H174" s="9">
        <x:f>ROUND(F174-G174,2)</x:f>
        <x:v>237.4</x:v>
      </x:c>
      <x:c r="I174" s="3" t="inlineStr">
        <x:is>
          <x:t xml:space="preserve">Eduarda Ferreira</x:t>
        </x:is>
      </x:c>
      <x:c r="J174" s="3" t="inlineStr">
        <x:is>
          <x:t xml:space="preserve">Guilherme Araújo</x:t>
        </x:is>
      </x:c>
      <x:c r="K174" s="3" t="str">
        <x:f>IF(B174="Plano Básico","Consulta e internação",IF(B174="Plano Médio","Consulta, emergência e internação","Consulta, emergência, internação e odontologia"))</x:f>
        <x:v>Consulta, emergência e internação</x:v>
      </x:c>
    </x:row>
    <x:row r="175">
      <x:c r="A175" s="8" t="n">
        <x:v>45999</x:v>
      </x:c>
      <x:c r="B175" s="3" t="inlineStr">
        <x:is>
          <x:t xml:space="preserve">Plano Master</x:t>
        </x:is>
      </x:c>
      <x:c r="C175" s="3" t="inlineStr">
        <x:is>
          <x:t xml:space="preserve">Bahia</x:t>
        </x:is>
      </x:c>
      <x:c r="D175" s="9" t="n">
        <x:v>399.9</x:v>
      </x:c>
      <x:c r="E175" s="5" t="n">
        <x:v>1</x:v>
      </x:c>
      <x:c r="F175" s="9">
        <x:f>ROUND(D175*E175,2)</x:f>
        <x:v>399.9</x:v>
      </x:c>
      <x:c r="G175" s="9" t="n">
        <x:v>0</x:v>
      </x:c>
      <x:c r="H175" s="9">
        <x:f>ROUND(F175-G175,2)</x:f>
        <x:v>399.9</x:v>
      </x:c>
      <x:c r="I175" s="3" t="inlineStr">
        <x:is>
          <x:t xml:space="preserve">Debora Sampaio</x:t>
        </x:is>
      </x:c>
      <x:c r="J175" s="3" t="inlineStr">
        <x:is>
          <x:t xml:space="preserve">Larissa Rocha</x:t>
        </x:is>
      </x:c>
      <x:c r="K175" s="3" t="str">
        <x:f>IF(B175="Plano Básico","Consulta e internação",IF(B175="Plano Médio","Consulta, emergência e internação","Consulta, emergência, internação e odontologia"))</x:f>
        <x:v>Consulta, emergência, internação e odontologia</x:v>
      </x:c>
    </x:row>
    <x:row r="176">
      <x:c r="A176" s="8" t="n">
        <x:v>46000</x:v>
      </x:c>
      <x:c r="B176" s="3" t="inlineStr">
        <x:is>
          <x:t xml:space="preserve">Plano Básico</x:t>
        </x:is>
      </x:c>
      <x:c r="C176" s="3" t="inlineStr">
        <x:is>
          <x:t xml:space="preserve">Espírito Santo</x:t>
        </x:is>
      </x:c>
      <x:c r="D176" s="9" t="n">
        <x:v>149.9</x:v>
      </x:c>
      <x:c r="E176" s="5" t="n">
        <x:v>1</x:v>
      </x:c>
      <x:c r="F176" s="9">
        <x:f>ROUND(D176*E176,2)</x:f>
        <x:v>149.9</x:v>
      </x:c>
      <x:c r="G176" s="9" t="n">
        <x:v>0</x:v>
      </x:c>
      <x:c r="H176" s="9">
        <x:f>ROUND(F176-G176,2)</x:f>
        <x:v>149.9</x:v>
      </x:c>
      <x:c r="I176" s="3" t="inlineStr">
        <x:is>
          <x:t xml:space="preserve">Gustavo Bittencourt</x:t>
        </x:is>
      </x:c>
      <x:c r="J176" s="3" t="inlineStr">
        <x:is>
          <x:t xml:space="preserve">Fernanda Souza</x:t>
        </x:is>
      </x:c>
      <x:c r="K176" s="3" t="str">
        <x:f>IF(B176="Plano Básico","Consulta e internação",IF(B176="Plano Médio","Consulta, emergência e internação","Consulta, emergência, internação e odontologia"))</x:f>
        <x:v>Consulta e internação</x:v>
      </x:c>
    </x:row>
    <x:row r="177">
      <x:c r="A177" s="8" t="n">
        <x:v>46003</x:v>
      </x:c>
      <x:c r="B177" s="3" t="inlineStr">
        <x:is>
          <x:t xml:space="preserve">Plano Médio</x:t>
        </x:is>
      </x:c>
      <x:c r="C177" s="3" t="inlineStr">
        <x:is>
          <x:t xml:space="preserve">São Paulo</x:t>
        </x:is>
      </x:c>
      <x:c r="D177" s="9" t="n">
        <x:v>249.9</x:v>
      </x:c>
      <x:c r="E177" s="5" t="n">
        <x:v>2</x:v>
      </x:c>
      <x:c r="F177" s="9">
        <x:f>ROUND(D177*E177,2)</x:f>
        <x:v>499.8</x:v>
      </x:c>
      <x:c r="G177" s="9" t="n">
        <x:v>0</x:v>
      </x:c>
      <x:c r="H177" s="9">
        <x:f>ROUND(F177-G177,2)</x:f>
        <x:v>499.8</x:v>
      </x:c>
      <x:c r="I177" s="3" t="inlineStr">
        <x:is>
          <x:t xml:space="preserve">Ursula Farias</x:t>
        </x:is>
      </x:c>
      <x:c r="J177" s="3" t="inlineStr">
        <x:is>
          <x:t xml:space="preserve">Amanda Lopes</x:t>
        </x:is>
      </x:c>
      <x:c r="K177" s="3" t="str">
        <x:f>IF(B177="Plano Básico","Consulta e internação",IF(B177="Plano Médio","Consulta, emergência e internação","Consulta, emergência, internação e odontologia"))</x:f>
        <x:v>Consulta, emergência e internação</x:v>
      </x:c>
    </x:row>
    <x:row r="178">
      <x:c r="A178" s="8" t="n">
        <x:v>46006</x:v>
      </x:c>
      <x:c r="B178" s="3" t="inlineStr">
        <x:is>
          <x:t xml:space="preserve">Plano Básico</x:t>
        </x:is>
      </x:c>
      <x:c r="C178" s="3" t="inlineStr">
        <x:is>
          <x:t xml:space="preserve">Bahia</x:t>
        </x:is>
      </x:c>
      <x:c r="D178" s="9" t="n">
        <x:v>149.9</x:v>
      </x:c>
      <x:c r="E178" s="5" t="n">
        <x:v>2</x:v>
      </x:c>
      <x:c r="F178" s="9">
        <x:f>ROUND(D178*E178,2)</x:f>
        <x:v>299.8</x:v>
      </x:c>
      <x:c r="G178" s="9" t="n">
        <x:v>0</x:v>
      </x:c>
      <x:c r="H178" s="9">
        <x:f>ROUND(F178-G178,2)</x:f>
        <x:v>299.8</x:v>
      </x:c>
      <x:c r="I178" s="3" t="inlineStr">
        <x:is>
          <x:t xml:space="preserve">Caio Rezende</x:t>
        </x:is>
      </x:c>
      <x:c r="J178" s="3" t="inlineStr">
        <x:is>
          <x:t xml:space="preserve">Juliana Martins</x:t>
        </x:is>
      </x:c>
      <x:c r="K178" s="3" t="str">
        <x:f>IF(B178="Plano Básico","Consulta e internação",IF(B178="Plano Médio","Consulta, emergência e internação","Consulta, emergência, internação e odontologia"))</x:f>
        <x:v>Consulta e internação</x:v>
      </x:c>
    </x:row>
    <x:row r="179">
      <x:c r="A179" s="8" t="n">
        <x:v>46006</x:v>
      </x:c>
      <x:c r="B179" s="3" t="inlineStr">
        <x:is>
          <x:t xml:space="preserve">Plano Básico</x:t>
        </x:is>
      </x:c>
      <x:c r="C179" s="3" t="inlineStr">
        <x:is>
          <x:t xml:space="preserve">Rio Grande do Sul</x:t>
        </x:is>
      </x:c>
      <x:c r="D179" s="9" t="n">
        <x:v>149.9</x:v>
      </x:c>
      <x:c r="E179" s="5" t="n">
        <x:v>2</x:v>
      </x:c>
      <x:c r="F179" s="9">
        <x:f>ROUND(D179*E179,2)</x:f>
        <x:v>299.8</x:v>
      </x:c>
      <x:c r="G179" s="9" t="n">
        <x:v>29.98</x:v>
      </x:c>
      <x:c r="H179" s="9">
        <x:f>ROUND(F179-G179,2)</x:f>
        <x:v>269.82</x:v>
      </x:c>
      <x:c r="I179" s="3" t="inlineStr">
        <x:is>
          <x:t xml:space="preserve">Paulo Henrique Dias</x:t>
        </x:is>
      </x:c>
      <x:c r="J179" s="3" t="inlineStr">
        <x:is>
          <x:t xml:space="preserve">Carlos Lima</x:t>
        </x:is>
      </x:c>
      <x:c r="K179" s="3" t="str">
        <x:f>IF(B179="Plano Básico","Consulta e internação",IF(B179="Plano Médio","Consulta, emergência e internação","Consulta, emergência, internação e odontologia"))</x:f>
        <x:v>Consulta e internação</x:v>
      </x:c>
    </x:row>
    <x:row r="180">
      <x:c r="A180" s="8" t="n">
        <x:v>46008</x:v>
      </x:c>
      <x:c r="B180" s="3" t="inlineStr">
        <x:is>
          <x:t xml:space="preserve">Plano Médio</x:t>
        </x:is>
      </x:c>
      <x:c r="C180" s="3" t="inlineStr">
        <x:is>
          <x:t xml:space="preserve">São Paulo</x:t>
        </x:is>
      </x:c>
      <x:c r="D180" s="9" t="n">
        <x:v>249.9</x:v>
      </x:c>
      <x:c r="E180" s="5" t="n">
        <x:v>3</x:v>
      </x:c>
      <x:c r="F180" s="9">
        <x:f>ROUND(D180*E180,2)</x:f>
        <x:v>749.7</x:v>
      </x:c>
      <x:c r="G180" s="9" t="n">
        <x:v>0</x:v>
      </x:c>
      <x:c r="H180" s="9">
        <x:f>ROUND(F180-G180,2)</x:f>
        <x:v>749.7</x:v>
      </x:c>
      <x:c r="I180" s="3" t="inlineStr">
        <x:is>
          <x:t xml:space="preserve">Renato Melo</x:t>
        </x:is>
      </x:c>
      <x:c r="J180" s="3" t="inlineStr">
        <x:is>
          <x:t xml:space="preserve">Patrícia Silva</x:t>
        </x:is>
      </x:c>
      <x:c r="K180" s="3" t="str">
        <x:f>IF(B180="Plano Básico","Consulta e internação",IF(B180="Plano Médio","Consulta, emergência e internação","Consulta, emergência, internação e odontologia"))</x:f>
        <x:v>Consulta, emergência e internação</x:v>
      </x:c>
    </x:row>
    <x:row r="181">
      <x:c r="A181" s="8" t="n">
        <x:v>46011</x:v>
      </x:c>
      <x:c r="B181" s="3" t="inlineStr">
        <x:is>
          <x:t xml:space="preserve">Plano Médio</x:t>
        </x:is>
      </x:c>
      <x:c r="C181" s="3" t="inlineStr">
        <x:is>
          <x:t xml:space="preserve">Goiás</x:t>
        </x:is>
      </x:c>
      <x:c r="D181" s="9" t="n">
        <x:v>249.9</x:v>
      </x:c>
      <x:c r="E181" s="5" t="n">
        <x:v>1</x:v>
      </x:c>
      <x:c r="F181" s="9">
        <x:f>ROUND(D181*E181,2)</x:f>
        <x:v>249.9</x:v>
      </x:c>
      <x:c r="G181" s="9" t="n">
        <x:v>0</x:v>
      </x:c>
      <x:c r="H181" s="9">
        <x:f>ROUND(F181-G181,2)</x:f>
        <x:v>249.9</x:v>
      </x:c>
      <x:c r="I181" s="3" t="inlineStr">
        <x:is>
          <x:t xml:space="preserve">Carlos Eduardo Dias</x:t>
        </x:is>
      </x:c>
      <x:c r="J181" s="3" t="inlineStr">
        <x:is>
          <x:t xml:space="preserve">Diego Nascimento</x:t>
        </x:is>
      </x:c>
      <x:c r="K181" s="3" t="str">
        <x:f>IF(B181="Plano Básico","Consulta e internação",IF(B181="Plano Médio","Consulta, emergência e internação","Consulta, emergência, internação e odontologia"))</x:f>
        <x:v>Consulta, emergência e internação</x:v>
      </x:c>
    </x:row>
  </x:sheetData>
  <x:pageMargins left="0.7" right="0.7" top="0.75" bottom="0.75" header="0.3" footer="0.3"/>
  <x:legacyDrawing xmlns:r="http://schemas.openxmlformats.org/officeDocument/2006/relationships" r:id="Rc0c7c9f767ee4333"/>
  <x:tableParts count="1">
    <x:tablePart xmlns:r="http://schemas.openxmlformats.org/officeDocument/2006/relationships" r:id="R52298260c366440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0" customWidth="1"/>
  </x:cols>
  <x:sheetData>
    <x:row r="1">
      <x:c r="A1" s="6" t="inlineStr">
        <x:is>
          <x:t xml:space="preserve">Base de Vendas - Planos de Saúde</x:t>
        </x:is>
      </x:c>
    </x:row>
    <x:row r="3">
      <x:c r="A3" s="7" t="inlineStr">
        <x:is>
          <x:t xml:space="preserve">Estrutura recomendada no Power BI:</x:t>
        </x:is>
      </x:c>
    </x:row>
    <x:row r="4">
      <x:c r="A4" t="inlineStr">
        <x:is>
          <x:t xml:space="preserve">Fato_Vendas: DataVenda, Produto, Estado, NomeCliente, Vendedor, Quantidade, ValorUnitario, ValorBruto, TotalDesconto, ValorVenda</x:t>
        </x:is>
      </x:c>
    </x:row>
    <x:row r="5">
      <x:c r="A5" t="inlineStr">
        <x:is>
          <x:t xml:space="preserve">Dimensões: Data, Estado, Clientes, Vendedores e Produto</x:t>
        </x:is>
      </x:c>
    </x:row>
    <x:row r="7">
      <x:c r="A7" s="7" t="inlineStr">
        <x:is>
          <x:t xml:space="preserve">Produtos:</x:t>
        </x:is>
      </x:c>
    </x:row>
    <x:row r="8">
      <x:c r="A8" t="inlineStr">
        <x:is>
          <x:t xml:space="preserve">Plano Básico - Consulta e internação</x:t>
        </x:is>
      </x:c>
    </x:row>
    <x:row r="9">
      <x:c r="A9" t="inlineStr">
        <x:is>
          <x:t xml:space="preserve">Plano Médio - Consulta, emergência e internação</x:t>
        </x:is>
      </x:c>
    </x:row>
    <x:row r="10">
      <x:c r="A10" t="inlineStr">
        <x:is>
          <x:t xml:space="preserve">Plano Master - Consulta, emergência, internação e odontologia</x:t>
        </x:is>
      </x:c>
    </x:row>
    <x:row r="12">
      <x:c r="A12" t="inlineStr">
        <x:is>
          <x:t xml:space="preserve">Observação: ValorBruto e ValorVenda foram calculados por fórmulas.</x:t>
        </x:is>
      </x:c>
    </x:row>
  </x:sheetData>
  <x:pageMargins left="0.7" right="0.7" top="0.75" bottom="0.75" header="0.3" footer="0.3"/>
</x:worksheet>
</file>